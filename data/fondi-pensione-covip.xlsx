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11/relationships/webextensiontaskpanes" Target="xl/webextensions/taskpanes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name="Sheet1" sheetId="1" state="visible" r:id="rId1"/>
    <sheet name="Comparti" sheetId="2" state="visible" r:id="rId2"/>
    <sheet name="Regole" sheetId="3" state="visible" r:id="rId3"/>
    <sheet name="Longevita" sheetId="4" state="visible" r:id="rId4"/>
    <sheet name="Glossario" sheetId="5" state="visible" r:id="rId5"/>
    <sheet name="Prestazioni" sheetId="6" state="visible" r:id="rId6"/>
  </sheets>
  <definedNames>
    <definedName name="_xlnm._FilterDatabase" localSheetId="0" hidden="1">'Sheet1'!$A$2:$Q$40</definedName>
    <definedName name="_xlnm._FilterDatabase" localSheetId="1" hidden="1">'Comparti'!$A$1:$J$103</definedName>
    <definedName name="_xlnm._FilterDatabase" localSheetId="2" hidden="1">'Regole'!$A$1:$M$33</definedName>
    <definedName name="_xlnm._FilterDatabase" localSheetId="4" hidden="1">'Glossario'!$A$1:$H$50</definedName>
    <definedName name="_xlnm._FilterDatabase" localSheetId="5" hidden="1">'Prestazioni'!$A$1:$V$39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\ &quot;€&quot;"/>
    <numFmt numFmtId="165" formatCode="0.0%"/>
    <numFmt numFmtId="166" formatCode="DD/MM/YYYY"/>
    <numFmt numFmtId="167" formatCode="yyyy-mm-dd"/>
    <numFmt numFmtId="168" formatCode="yyyy-mm-dd h:mm:ss"/>
  </numFmts>
  <fonts count="13">
    <font>
      <name val="Calibri"/>
      <sz val="11"/>
    </font>
    <font>
      <name val="Calibri"/>
      <color theme="10"/>
      <sz val="11"/>
      <u val="single"/>
    </font>
    <font>
      <name val="Calibri"/>
      <family val="2"/>
      <b val="1"/>
      <color rgb="FFFFFFFF"/>
      <sz val="14"/>
    </font>
    <font>
      <name val="Calibri"/>
      <family val="2"/>
      <sz val="14"/>
    </font>
    <font>
      <name val="Calibri"/>
      <family val="2"/>
      <sz val="11"/>
    </font>
    <font>
      <name val="Calibri"/>
      <family val="2"/>
      <color rgb="FF0563C1"/>
      <sz val="11"/>
      <u val="single"/>
    </font>
    <font>
      <name val="Calibri"/>
      <family val="2"/>
      <b val="1"/>
      <color rgb="FFFFFFFF"/>
      <sz val="18"/>
    </font>
    <font>
      <name val="Calibri"/>
      <family val="2"/>
      <sz val="18"/>
    </font>
    <font>
      <name val="Calibri"/>
      <family val="2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1"/>
    </font>
    <font>
      <name val="Calibri"/>
      <family val="2"/>
      <color rgb="FF008000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00DDEBF7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medium">
        <color rgb="FF1F3864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medium">
        <color rgb="FF1F3864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medium">
        <color rgb="FF1F3864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pivotButton="0" quotePrefix="0" xfId="0"/>
    <xf numFmtId="0" fontId="3" fillId="0" borderId="0" pivotButton="0" quotePrefix="0" xfId="0"/>
    <xf numFmtId="0" fontId="2" fillId="3" borderId="4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1">
      <alignment vertical="center"/>
    </xf>
    <xf numFmtId="0" fontId="8" fillId="4" borderId="1" applyAlignment="1" pivotButton="0" quotePrefix="0" xfId="0">
      <alignment vertical="center"/>
    </xf>
    <xf numFmtId="0" fontId="5" fillId="5" borderId="1" applyAlignment="1" pivotButton="0" quotePrefix="0" xfId="1">
      <alignment vertical="center"/>
    </xf>
    <xf numFmtId="0" fontId="8" fillId="5" borderId="1" applyAlignment="1" pivotButton="0" quotePrefix="0" xfId="0">
      <alignment vertical="center"/>
    </xf>
    <xf numFmtId="0" fontId="5" fillId="5" borderId="3" applyAlignment="1" pivotButton="0" quotePrefix="0" xfId="1">
      <alignment vertical="center"/>
    </xf>
    <xf numFmtId="0" fontId="8" fillId="5" borderId="3" applyAlignment="1" pivotButton="0" quotePrefix="0" xfId="0">
      <alignment vertical="center"/>
    </xf>
    <xf numFmtId="0" fontId="4" fillId="4" borderId="5" applyAlignment="1" pivotButton="0" quotePrefix="0" xfId="0">
      <alignment vertical="center"/>
    </xf>
    <xf numFmtId="0" fontId="4" fillId="5" borderId="5" applyAlignment="1" pivotButton="0" quotePrefix="0" xfId="0">
      <alignment vertical="center"/>
    </xf>
    <xf numFmtId="0" fontId="4" fillId="5" borderId="6" applyAlignment="1" pivotButton="0" quotePrefix="0" xfId="0">
      <alignment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0" fontId="8" fillId="4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0" fontId="8" fillId="5" borderId="1" applyAlignment="1" pivotButton="0" quotePrefix="0" xfId="0">
      <alignment horizontal="center" vertical="center"/>
    </xf>
    <xf numFmtId="164" fontId="8" fillId="5" borderId="3" applyAlignment="1" pivotButton="0" quotePrefix="0" xfId="0">
      <alignment horizontal="center" vertical="center"/>
    </xf>
    <xf numFmtId="165" fontId="8" fillId="5" borderId="3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 vertical="center"/>
    </xf>
    <xf numFmtId="10" fontId="8" fillId="5" borderId="3" applyAlignment="1" pivotButton="0" quotePrefix="0" xfId="0">
      <alignment horizontal="center" vertical="center"/>
    </xf>
    <xf numFmtId="0" fontId="8" fillId="4" borderId="8" applyAlignment="1" pivotButton="0" quotePrefix="0" xfId="0">
      <alignment vertical="center" wrapText="1"/>
    </xf>
    <xf numFmtId="0" fontId="8" fillId="5" borderId="8" applyAlignment="1" pivotButton="0" quotePrefix="0" xfId="0">
      <alignment vertical="center" wrapText="1"/>
    </xf>
    <xf numFmtId="0" fontId="8" fillId="5" borderId="9" applyAlignment="1" pivotButton="0" quotePrefix="0" xfId="0">
      <alignment vertical="center" wrapText="1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3" borderId="7" applyAlignment="1" pivotButton="0" quotePrefix="0" xfId="0">
      <alignment horizontal="center" vertical="center" wrapText="1"/>
    </xf>
    <xf numFmtId="0" fontId="11" fillId="4" borderId="5" pivotButton="0" quotePrefix="0" xfId="0"/>
    <xf numFmtId="0" fontId="8" fillId="4" borderId="1" pivotButton="0" quotePrefix="0" xfId="0"/>
    <xf numFmtId="0" fontId="11" fillId="5" borderId="5" pivotButton="0" quotePrefix="0" xfId="0"/>
    <xf numFmtId="0" fontId="8" fillId="5" borderId="1" pivotButton="0" quotePrefix="0" xfId="0"/>
    <xf numFmtId="0" fontId="11" fillId="5" borderId="6" pivotButton="0" quotePrefix="0" xfId="0"/>
    <xf numFmtId="0" fontId="8" fillId="5" borderId="3" pivotButton="0" quotePrefix="0" xfId="0"/>
    <xf numFmtId="0" fontId="8" fillId="4" borderId="1" applyAlignment="1" pivotButton="0" quotePrefix="0" xfId="0">
      <alignment horizontal="center"/>
    </xf>
    <xf numFmtId="10" fontId="8" fillId="4" borderId="1" applyAlignment="1" pivotButton="0" quotePrefix="0" xfId="0">
      <alignment horizontal="center"/>
    </xf>
    <xf numFmtId="1" fontId="8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10" fontId="8" fillId="5" borderId="1" applyAlignment="1" pivotButton="0" quotePrefix="0" xfId="0">
      <alignment horizontal="center"/>
    </xf>
    <xf numFmtId="1" fontId="8" fillId="5" borderId="1" applyAlignment="1" pivotButton="0" quotePrefix="0" xfId="0">
      <alignment horizontal="center"/>
    </xf>
    <xf numFmtId="0" fontId="8" fillId="5" borderId="3" applyAlignment="1" pivotButton="0" quotePrefix="0" xfId="0">
      <alignment horizontal="center"/>
    </xf>
    <xf numFmtId="10" fontId="8" fillId="5" borderId="3" applyAlignment="1" pivotButton="0" quotePrefix="0" xfId="0">
      <alignment horizontal="center"/>
    </xf>
    <xf numFmtId="1" fontId="8" fillId="5" borderId="3" applyAlignment="1" pivotButton="0" quotePrefix="0" xfId="0">
      <alignment horizontal="center"/>
    </xf>
    <xf numFmtId="0" fontId="8" fillId="4" borderId="8" applyAlignment="1" pivotButton="0" quotePrefix="0" xfId="0">
      <alignment wrapText="1"/>
    </xf>
    <xf numFmtId="0" fontId="8" fillId="5" borderId="8" applyAlignment="1" pivotButton="0" quotePrefix="0" xfId="0">
      <alignment wrapText="1"/>
    </xf>
    <xf numFmtId="0" fontId="8" fillId="5" borderId="9" applyAlignment="1" pivotButton="0" quotePrefix="0" xfId="0">
      <alignment wrapText="1"/>
    </xf>
    <xf numFmtId="0" fontId="5" fillId="4" borderId="1" pivotButton="0" quotePrefix="0" xfId="1"/>
    <xf numFmtId="0" fontId="5" fillId="5" borderId="1" pivotButton="0" quotePrefix="0" xfId="1"/>
    <xf numFmtId="0" fontId="5" fillId="5" borderId="3" pivotButton="0" quotePrefix="0" xfId="1"/>
    <xf numFmtId="0" fontId="8" fillId="6" borderId="8" applyAlignment="1" pivotButton="0" quotePrefix="0" xfId="0">
      <alignment wrapText="1"/>
    </xf>
    <xf numFmtId="0" fontId="6" fillId="2" borderId="0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164" fontId="8" fillId="5" borderId="3" applyAlignment="1" pivotButton="0" quotePrefix="0" xfId="0">
      <alignment horizontal="center" vertical="center"/>
    </xf>
    <xf numFmtId="165" fontId="8" fillId="5" borderId="3" applyAlignment="1" pivotButton="0" quotePrefix="0" xfId="0">
      <alignment horizontal="center" vertical="center"/>
    </xf>
    <xf numFmtId="0" fontId="12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166" fontId="0" fillId="0" borderId="0" applyAlignment="1" pivotButton="0" quotePrefix="0" xfId="0">
      <alignment vertical="top" wrapText="1"/>
    </xf>
    <xf numFmtId="0" fontId="12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1" fillId="0" borderId="0" pivotButton="0" quotePrefix="0" xfId="1"/>
    <xf numFmtId="166" fontId="0" fillId="0" borderId="0" pivotButton="0" quotePrefix="0" xfId="0"/>
    <xf numFmtId="165" fontId="0" fillId="0" borderId="0" pivotButton="0" quotePrefix="0" xfId="0"/>
    <xf numFmtId="166" fontId="0" fillId="0" borderId="0" applyAlignment="1" pivotButton="0" quotePrefix="0" xfId="0">
      <alignment vertical="top" wrapText="1"/>
    </xf>
    <xf numFmtId="166" fontId="0" fillId="0" borderId="0" pivotButton="0" quotePrefix="0" xfId="0"/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CDAD9AE-DD4D-43A4-9844-451CA71DA22C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3910185a-1506-48db-bd18-26ef1a5dd7c9&quot;"/>
  </we:properties>
  <we:bindings/>
  <we:snapshot xmlns:r="http://schemas.openxmlformats.org/officeDocument/2006/relationships"/>
</we:webextension>
</file>

<file path=xl/worksheets/_rels/sheet1.xml.rels><Relationships xmlns="http://schemas.openxmlformats.org/package/2006/relationships"><Relationship Type="http://schemas.openxmlformats.org/officeDocument/2006/relationships/hyperlink" Target="https://www.allianz.it/le-soluzioni-per-te/previdenza/fondi-pensione/allianz-previdenza.html" TargetMode="External" Id="rId1" /><Relationship Type="http://schemas.openxmlformats.org/officeDocument/2006/relationships/hyperlink" Target="https://www.ciaoelsa.com/schede-fondo/fondi-pensione-aperti/allianz/allianz-previdenza/" TargetMode="External" Id="rId2" /><Relationship Type="http://schemas.openxmlformats.org/officeDocument/2006/relationships/hyperlink" Target="https://www.axa-mps.it/fondo-pensione-aperto" TargetMode="External" Id="rId3" /><Relationship Type="http://schemas.openxmlformats.org/officeDocument/2006/relationships/hyperlink" Target="https://www.ciaoelsa.com/schede-fondo/fondi-pensione-aperti/axa/axa-previdenza-per-te/" TargetMode="External" Id="rId4" /><Relationship Type="http://schemas.openxmlformats.org/officeDocument/2006/relationships/hyperlink" Target="https://www.alleanza.it/previdenza-complementare/almeglio/" TargetMode="External" Id="rId5" /><Relationship Type="http://schemas.openxmlformats.org/officeDocument/2006/relationships/hyperlink" Target="https://www.fideuram.it/prodotti-e-soluzioni-personalizzate/assicurazione-e-previdenza/previdenza/fondo-pensione-fideuram/" TargetMode="External" Id="rId6" /><Relationship Type="http://schemas.openxmlformats.org/officeDocument/2006/relationships/hyperlink" Target="https://www.ciaoelsa.com/schede-fondo/fondi-pensione-aperti/fideuram/fideuram/" TargetMode="External" Id="rId7" /><Relationship Type="http://schemas.openxmlformats.org/officeDocument/2006/relationships/hyperlink" Target="https://www.generali.it/previdenza/generali-global-fondo-pensione-aperto/" TargetMode="External" Id="rId8" /><Relationship Type="http://schemas.openxmlformats.org/officeDocument/2006/relationships/hyperlink" Target="https://www.ciaoelsa.com/schede-fondo/fondi-pensione-aperti/generali/generali-global/" TargetMode="External" Id="rId9" /><Relationship Type="http://schemas.openxmlformats.org/officeDocument/2006/relationships/hyperlink" Target="https://www.intesasanpaoloassicurazioni.com/it/prodotti-e-rendimenti/pensione-integrativa/previdsystem.html" TargetMode="External" Id="rId10" /><Relationship Type="http://schemas.openxmlformats.org/officeDocument/2006/relationships/hyperlink" Target="https://www.realemutua.it/risparmio/previdenza/fondo-pensione-teseo" TargetMode="External" Id="rId11" /><Relationship Type="http://schemas.openxmlformats.org/officeDocument/2006/relationships/hyperlink" Target="https://www.ciaoelsa.com/schede-fondo/fondi-pensione-aperti/reale-mutua/reale-mutua-teseo/" TargetMode="External" Id="rId12" /><Relationship Type="http://schemas.openxmlformats.org/officeDocument/2006/relationships/hyperlink" Target="https://www.credem.it/content/credem/it/privati-e-famiglie/assicurazione-e-previdenza/previdenza/fondo-pensione.html" TargetMode="External" Id="rId13" /><Relationship Type="http://schemas.openxmlformats.org/officeDocument/2006/relationships/hyperlink" Target="https://www.ciaoelsa.com/schede-fondo/fondi-pensione-aperti/credem/credemprevidenza/" TargetMode="External" Id="rId14" /><Relationship Type="http://schemas.openxmlformats.org/officeDocument/2006/relationships/hyperlink" Target="https://www.vittoriaassicurazioni.com/performances/fondo-pensione/" TargetMode="External" Id="rId15" /><Relationship Type="http://schemas.openxmlformats.org/officeDocument/2006/relationships/hyperlink" Target="https://www.ciaoelsa.com/schede-fondo/fondi-pensione-aperti/vittoria-assicurazioni/vittoria-formula-lavoro/" TargetMode="External" Id="rId16" /><Relationship Type="http://schemas.openxmlformats.org/officeDocument/2006/relationships/hyperlink" Target="https://www.arcafondi.it/s/previdenza" TargetMode="External" Id="rId17" /><Relationship Type="http://schemas.openxmlformats.org/officeDocument/2006/relationships/hyperlink" Target="https://www.unipol.it/aziende/risparmio-previdenza/fondo-pensione-aperto" TargetMode="External" Id="rId18" /><Relationship Type="http://schemas.openxmlformats.org/officeDocument/2006/relationships/hyperlink" Target="https://www.bancobpmvita.it/prodotti/previdenza/fondo-pensione-aperto-vera-vita/" TargetMode="External" Id="rId19" /><Relationship Type="http://schemas.openxmlformats.org/officeDocument/2006/relationships/hyperlink" Target="https://www.unicreditallianzvita.it/le-soluzioni-per-te/archivio-prodotti/previdenza.html" TargetMode="External" Id="rId20" /><Relationship Type="http://schemas.openxmlformats.org/officeDocument/2006/relationships/hyperlink" Target="https://www.mediolanumgestionefondi.it/fondi-pensione" TargetMode="External" Id="rId21" /><Relationship Type="http://schemas.openxmlformats.org/officeDocument/2006/relationships/hyperlink" Target="https://www.ciaoelsa.com/schede-fondo/fondi-pensione-aperti/mediolanum/mediolanum-previgest/" TargetMode="External" Id="rId22" /><Relationship Type="http://schemas.openxmlformats.org/officeDocument/2006/relationships/hyperlink" Target="https://www.zurich.it/persone/risparmio-e-investimento/previdenza/zurich-contribution" TargetMode="External" Id="rId23" /><Relationship Type="http://schemas.openxmlformats.org/officeDocument/2006/relationships/hyperlink" Target="https://www.ciaoelsa.com/schede-fondo/fondi-pensione-aperti/zurich/zurich-contribution/" TargetMode="External" Id="rId24" /><Relationship Type="http://schemas.openxmlformats.org/officeDocument/2006/relationships/hyperlink" Target="https://www.zurich.it/gruppo-zurich/zurich-italia/partner/banks-and-ifa/zed-omnifund" TargetMode="External" Id="rId25" /><Relationship Type="http://schemas.openxmlformats.org/officeDocument/2006/relationships/hyperlink" Target="https://www.ciaoelsa.com/schede-fondo/fondi-pensione-aperti/zurich/zurich-zed-omnifund/" TargetMode="External" Id="rId26" /><Relationship Type="http://schemas.openxmlformats.org/officeDocument/2006/relationships/hyperlink" Target="https://www.gruppoitas.it/it/prodotti/fondo-pensione-plurifonds" TargetMode="External" Id="rId27" /><Relationship Type="http://schemas.openxmlformats.org/officeDocument/2006/relationships/hyperlink" Target="https://www.ciaoelsa.com/schede-fondo/fondi-pensione-aperti/itas/itas-plurifonds/" TargetMode="External" Id="rId28" /><Relationship Type="http://schemas.openxmlformats.org/officeDocument/2006/relationships/hyperlink" Target="https://www.sella.it/banca-on-line/privati/consulenza-e-investimenti/prodotti-di-investimento/fondi-pensione" TargetMode="External" Id="rId29" /><Relationship Type="http://schemas.openxmlformats.org/officeDocument/2006/relationships/hyperlink" Target="https://www.ciaoelsa.com/schede-fondo/fondi-pensione-aperti/sella/sella-eurorisparmio/" TargetMode="External" Id="rId30" /><Relationship Type="http://schemas.openxmlformats.org/officeDocument/2006/relationships/hyperlink" Target="https://www.bccrisparmioeprevidenza.it/it-IT/pagine/prodotti/fondo-pensione.aspx" TargetMode="External" Id="rId31" /><Relationship Type="http://schemas.openxmlformats.org/officeDocument/2006/relationships/hyperlink" Target="https://www.ciaoelsa.com/schede-fondo/fondi-pensione-aperti/bcc/bcc-aureo/" TargetMode="External" Id="rId32" /><Relationship Type="http://schemas.openxmlformats.org/officeDocument/2006/relationships/hyperlink" Target="https://www.credit-agricole.it/privati/investimenti/previdenza-e-fondi-pensione/fondo-pensione-aperto" TargetMode="External" Id="rId33" /><Relationship Type="http://schemas.openxmlformats.org/officeDocument/2006/relationships/hyperlink" Target="https://www.ciaoelsa.com/schede-fondo/fondi-pensione-aperti/credit-agricole/credit-agricole-vita/" TargetMode="External" Id="rId34" /><Relationship Type="http://schemas.openxmlformats.org/officeDocument/2006/relationships/hyperlink" Target="https://www.animasgr.it/IT/investitore-privato/prodotti/Pagine/fondopensione.aspx" TargetMode="External" Id="rId35" /><Relationship Type="http://schemas.openxmlformats.org/officeDocument/2006/relationships/hyperlink" Target="https://www.ciaoelsa.com/schede-fondo/fondi-pensione-aperti/anima/anima-arti-e-mestieri/" TargetMode="External" Id="rId36" /><Relationship Type="http://schemas.openxmlformats.org/officeDocument/2006/relationships/hyperlink" Target="https://www.secondapensione.it/" TargetMode="External" Id="rId37" /><Relationship Type="http://schemas.openxmlformats.org/officeDocument/2006/relationships/hyperlink" Target="https://www.ciaoelsa.com/schede-fondo/fondi-pensione-aperti/amundi/amundi-secondapensione/" TargetMode="External" Id="rId38" /><Relationship Type="http://schemas.openxmlformats.org/officeDocument/2006/relationships/hyperlink" Target="https://www.intesasanpaoloassicurazioni.com/it/prodotti-e-rendimenti/pensione-integrativa/giustiniano.html" TargetMode="External" Id="rId39" /><Relationship Type="http://schemas.openxmlformats.org/officeDocument/2006/relationships/hyperlink" Target="https://www.groupama.it/previdenza-integrativa/programma-open/" TargetMode="External" Id="rId40" /><Relationship Type="http://schemas.openxmlformats.org/officeDocument/2006/relationships/hyperlink" Target="https://www.ciaoelsa.com/schede-fondo/fondi-pensione-aperti/groupama/groupama-programma-open/" TargetMode="External" Id="rId41" /><Relationship Type="http://schemas.openxmlformats.org/officeDocument/2006/relationships/hyperlink" Target="https://www.intesasanpaolo.com/it/persone-e-famiglie/prodotti/piani-previdenza-complementare-pensione-integrativa/fondo-pensione-aperto-il-mio-domani-adesioni-individuali.html" TargetMode="External" Id="rId42" /><Relationship Type="http://schemas.openxmlformats.org/officeDocument/2006/relationships/hyperlink" Target="https://www.azimutwm.it/web/azimut.it/prodotti/previdenza" TargetMode="External" Id="rId43" /><Relationship Type="http://schemas.openxmlformats.org/officeDocument/2006/relationships/hyperlink" Target="https://www.ciaoelsa.com/schede-fondo/fondi-pensione-aperti/azimut/azimut-previdenza/" TargetMode="External" Id="rId44" /><Relationship Type="http://schemas.openxmlformats.org/officeDocument/2006/relationships/hyperlink" Target="https://www.hdiassicurazioni.it/it/privati/previdenza/fondo-pensione-aperto" TargetMode="External" Id="rId45" /><Relationship Type="http://schemas.openxmlformats.org/officeDocument/2006/relationships/hyperlink" Target="https://www.ciaoelsa.com/schede-fondo/fondi-pensione-aperti/hdi/hdi-azione-di-previdenza/" TargetMode="External" Id="rId46" /><Relationship Type="http://schemas.openxmlformats.org/officeDocument/2006/relationships/hyperlink" Target="https://gruppocnp.it/prodotti/fondo-pensione-aperto/fondo-pensione-aperto-cnp" TargetMode="External" Id="rId47" /><Relationship Type="http://schemas.openxmlformats.org/officeDocument/2006/relationships/hyperlink" Target="https://www.ciaoelsa.com/schede-fondo/fondi-pensione-aperti/cnp-unicredit/cnp/" TargetMode="External" Id="rId48" /><Relationship Type="http://schemas.openxmlformats.org/officeDocument/2006/relationships/hyperlink" Target="https://www.allianz.it/le-soluzioni-per-te/previdenza/fondi-pensione/insieme.html" TargetMode="External" Id="rId49" /><Relationship Type="http://schemas.openxmlformats.org/officeDocument/2006/relationships/hyperlink" Target="https://www.ciaoelsa.com/schede-fondo/fondi-pensione-aperti/allianz/allianz-insieme/" TargetMode="External" Id="rId50" /><Relationship Type="http://schemas.openxmlformats.org/officeDocument/2006/relationships/hyperlink" Target="https://www.unipol.it/risparmio-previdenza/pensione-integrativa-fondi-pensione/fondo-pensione-aperto-bv" TargetMode="External" Id="rId51" /><Relationship Type="http://schemas.openxmlformats.org/officeDocument/2006/relationships/hyperlink" Target="https://www.ciaoelsa.com/schede-fondo/fondi-pensione-aperti/bim-vita/bim-vita/" TargetMode="External" Id="rId52" /><Relationship Type="http://schemas.openxmlformats.org/officeDocument/2006/relationships/hyperlink" Target="https://www.fondopensioneprofi.com/" TargetMode="External" Id="rId53" /><Relationship Type="http://schemas.openxmlformats.org/officeDocument/2006/relationships/hyperlink" Target="https://www.raiffeisenpensionsfonds.it/it/il-raiffeisen-fondo-pensione/chi-siamo.html" TargetMode="External" Id="rId54" /><Relationship Type="http://schemas.openxmlformats.org/officeDocument/2006/relationships/hyperlink" Target="https://www.assimoco.it/assimoco/offerta/protezione-persona-casa-famiglia/previdenza/il-melograno.html" TargetMode="External" Id="rId55" /><Relationship Type="http://schemas.openxmlformats.org/officeDocument/2006/relationships/hyperlink" Target="https://www.ciaoelsa.com/schede-fondo/fondi-pensione-aperti/assimoco/assimoco-il-melograno/" TargetMode="External" Id="rId56" /><Relationship Type="http://schemas.openxmlformats.org/officeDocument/2006/relationships/hyperlink" Target="https://www.intesasanpaoloassicurazioni.com/it/prodotti-e-rendimenti/pensione-integrativa/fondo-pensione-aperto-ubi-previdenza.html" TargetMode="External" Id="rId57" /><Relationship Type="http://schemas.openxmlformats.org/officeDocument/2006/relationships/hyperlink" Target="https://www.helvetia.com/it/web/it/prodotti-e-servizi/prodotti-dedicati-alla-previdenza-complementare/previdenza_complementare/fpa-soluzione-previdente.html" TargetMode="External" Id="rId58" /><Relationship Type="http://schemas.openxmlformats.org/officeDocument/2006/relationships/hyperlink" Target="https://www.intesasanpaoloassicurazioni.com/it/prodotti-e-rendimenti/pensione-integrativa/bappensione-2007.html" TargetMode="External" Id="rId59" /><Relationship Type="http://schemas.openxmlformats.org/officeDocument/2006/relationships/hyperlink" Target="https://www.corepension.it/" TargetMode="External" Id="rId60" /><Relationship Type="http://schemas.openxmlformats.org/officeDocument/2006/relationships/hyperlink" Target="https://www.azimutwm.it/web/azimut.it/prodotti/previdenza" TargetMode="External" Id="rId6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ciaoelsa.com/schede-fondo/fondi-pensione-aperti/allianz/allianz-previdenza/" TargetMode="External" Id="rId1" /><Relationship Type="http://schemas.openxmlformats.org/officeDocument/2006/relationships/hyperlink" Target="https://www.ciaoelsa.com/schede-fondo/fondi-pensione-aperti/allianz/allianz-previdenza/" TargetMode="External" Id="rId2" /><Relationship Type="http://schemas.openxmlformats.org/officeDocument/2006/relationships/hyperlink" Target="https://www.ciaoelsa.com/schede-fondo/fondi-pensione-aperti/allianz/allianz-previdenza/" TargetMode="External" Id="rId3" /><Relationship Type="http://schemas.openxmlformats.org/officeDocument/2006/relationships/hyperlink" Target="https://www.ciaoelsa.com/schede-fondo/fondi-pensione-aperti/allianz/allianz-previdenza/" TargetMode="External" Id="rId4" /><Relationship Type="http://schemas.openxmlformats.org/officeDocument/2006/relationships/hyperlink" Target="https://www.ciaoelsa.com/schede-fondo/fondi-pensione-aperti/allianz/allianz-previdenza/" TargetMode="External" Id="rId5" /><Relationship Type="http://schemas.openxmlformats.org/officeDocument/2006/relationships/hyperlink" Target="https://www.ciaoelsa.com/schede-fondo/fondi-pensione-aperti/axa/axa-previdenza-per-te/" TargetMode="External" Id="rId6" /><Relationship Type="http://schemas.openxmlformats.org/officeDocument/2006/relationships/hyperlink" Target="https://www.ciaoelsa.com/schede-fondo/fondi-pensione-aperti/axa/axa-previdenza-per-te/" TargetMode="External" Id="rId7" /><Relationship Type="http://schemas.openxmlformats.org/officeDocument/2006/relationships/hyperlink" Target="https://www.ciaoelsa.com/schede-fondo/fondi-pensione-aperti/axa/axa-previdenza-per-te/" TargetMode="External" Id="rId8" /><Relationship Type="http://schemas.openxmlformats.org/officeDocument/2006/relationships/hyperlink" Target="https://www.ciaoelsa.com/schede-fondo/fondi-pensione-aperti/axa/axa-previdenza-per-te/" TargetMode="External" Id="rId9" /><Relationship Type="http://schemas.openxmlformats.org/officeDocument/2006/relationships/hyperlink" Target="https://www.ciaoelsa.com/schede-fondo/fondi-pensione-aperti/axa/axa-previdenza-per-te/" TargetMode="External" Id="rId10" /><Relationship Type="http://schemas.openxmlformats.org/officeDocument/2006/relationships/hyperlink" Target="https://www.ciaoelsa.com/schede-fondo/fondi-pensione-aperti/fideuram/fideuram/" TargetMode="External" Id="rId11" /><Relationship Type="http://schemas.openxmlformats.org/officeDocument/2006/relationships/hyperlink" Target="https://www.ciaoelsa.com/schede-fondo/fondi-pensione-aperti/fideuram/fideuram/" TargetMode="External" Id="rId12" /><Relationship Type="http://schemas.openxmlformats.org/officeDocument/2006/relationships/hyperlink" Target="https://www.ciaoelsa.com/schede-fondo/fondi-pensione-aperti/fideuram/fideuram/" TargetMode="External" Id="rId13" /><Relationship Type="http://schemas.openxmlformats.org/officeDocument/2006/relationships/hyperlink" Target="https://www.ciaoelsa.com/schede-fondo/fondi-pensione-aperti/fideuram/fideuram/" TargetMode="External" Id="rId14" /><Relationship Type="http://schemas.openxmlformats.org/officeDocument/2006/relationships/hyperlink" Target="https://www.ciaoelsa.com/schede-fondo/fondi-pensione-aperti/fideuram/fideuram/" TargetMode="External" Id="rId15" /><Relationship Type="http://schemas.openxmlformats.org/officeDocument/2006/relationships/hyperlink" Target="https://www.ciaoelsa.com/schede-fondo/fondi-pensione-aperti/fideuram/fideuram/" TargetMode="External" Id="rId16" /><Relationship Type="http://schemas.openxmlformats.org/officeDocument/2006/relationships/hyperlink" Target="https://www.ciaoelsa.com/schede-fondo/fondi-pensione-aperti/generali/generali-global/" TargetMode="External" Id="rId17" /><Relationship Type="http://schemas.openxmlformats.org/officeDocument/2006/relationships/hyperlink" Target="https://www.ciaoelsa.com/schede-fondo/fondi-pensione-aperti/generali/generali-global/" TargetMode="External" Id="rId18" /><Relationship Type="http://schemas.openxmlformats.org/officeDocument/2006/relationships/hyperlink" Target="https://www.ciaoelsa.com/schede-fondo/fondi-pensione-aperti/generali/generali-global/" TargetMode="External" Id="rId19" /><Relationship Type="http://schemas.openxmlformats.org/officeDocument/2006/relationships/hyperlink" Target="https://www.ciaoelsa.com/schede-fondo/fondi-pensione-aperti/generali/generali-global/" TargetMode="External" Id="rId20" /><Relationship Type="http://schemas.openxmlformats.org/officeDocument/2006/relationships/hyperlink" Target="https://www.ciaoelsa.com/schede-fondo/fondi-pensione-aperti/generali/generali-global/" TargetMode="External" Id="rId21" /><Relationship Type="http://schemas.openxmlformats.org/officeDocument/2006/relationships/hyperlink" Target="https://www.ciaoelsa.com/schede-fondo/fondi-pensione-aperti/reale-mutua/reale-mutua-teseo/" TargetMode="External" Id="rId22" /><Relationship Type="http://schemas.openxmlformats.org/officeDocument/2006/relationships/hyperlink" Target="https://www.ciaoelsa.com/schede-fondo/fondi-pensione-aperti/reale-mutua/reale-mutua-teseo/" TargetMode="External" Id="rId23" /><Relationship Type="http://schemas.openxmlformats.org/officeDocument/2006/relationships/hyperlink" Target="https://www.ciaoelsa.com/schede-fondo/fondi-pensione-aperti/reale-mutua/reale-mutua-teseo/" TargetMode="External" Id="rId24" /><Relationship Type="http://schemas.openxmlformats.org/officeDocument/2006/relationships/hyperlink" Target="https://www.ciaoelsa.com/schede-fondo/fondi-pensione-aperti/reale-mutua/reale-mutua-teseo/" TargetMode="External" Id="rId25" /><Relationship Type="http://schemas.openxmlformats.org/officeDocument/2006/relationships/hyperlink" Target="https://www.ciaoelsa.com/schede-fondo/fondi-pensione-aperti/credem/credemprevidenza/" TargetMode="External" Id="rId26" /><Relationship Type="http://schemas.openxmlformats.org/officeDocument/2006/relationships/hyperlink" Target="https://www.ciaoelsa.com/schede-fondo/fondi-pensione-aperti/credem/credemprevidenza/" TargetMode="External" Id="rId27" /><Relationship Type="http://schemas.openxmlformats.org/officeDocument/2006/relationships/hyperlink" Target="https://www.ciaoelsa.com/schede-fondo/fondi-pensione-aperti/credem/credemprevidenza/" TargetMode="External" Id="rId28" /><Relationship Type="http://schemas.openxmlformats.org/officeDocument/2006/relationships/hyperlink" Target="https://www.ciaoelsa.com/schede-fondo/fondi-pensione-aperti/credem/credemprevidenza/" TargetMode="External" Id="rId29" /><Relationship Type="http://schemas.openxmlformats.org/officeDocument/2006/relationships/hyperlink" Target="https://www.ciaoelsa.com/schede-fondo/fondi-pensione-aperti/vittoria-assicurazioni/vittoria-formula-lavoro/" TargetMode="External" Id="rId30" /><Relationship Type="http://schemas.openxmlformats.org/officeDocument/2006/relationships/hyperlink" Target="https://www.ciaoelsa.com/schede-fondo/fondi-pensione-aperti/vittoria-assicurazioni/vittoria-formula-lavoro/" TargetMode="External" Id="rId31" /><Relationship Type="http://schemas.openxmlformats.org/officeDocument/2006/relationships/hyperlink" Target="https://www.ciaoelsa.com/schede-fondo/fondi-pensione-aperti/vittoria-assicurazioni/vittoria-formula-lavoro/" TargetMode="External" Id="rId32" /><Relationship Type="http://schemas.openxmlformats.org/officeDocument/2006/relationships/hyperlink" Target="https://www.ciaoelsa.com/schede-fondo/fondi-pensione-aperti/vittoria-assicurazioni/vittoria-formula-lavoro/" TargetMode="External" Id="rId33" /><Relationship Type="http://schemas.openxmlformats.org/officeDocument/2006/relationships/hyperlink" Target="https://www.ciaoelsa.com/schede-fondo/fondi-pensione-aperti/mediolanum/mediolanum-previgest/" TargetMode="External" Id="rId34" /><Relationship Type="http://schemas.openxmlformats.org/officeDocument/2006/relationships/hyperlink" Target="https://www.ciaoelsa.com/schede-fondo/fondi-pensione-aperti/mediolanum/mediolanum-previgest/" TargetMode="External" Id="rId35" /><Relationship Type="http://schemas.openxmlformats.org/officeDocument/2006/relationships/hyperlink" Target="https://www.ciaoelsa.com/schede-fondo/fondi-pensione-aperti/mediolanum/mediolanum-previgest/" TargetMode="External" Id="rId36" /><Relationship Type="http://schemas.openxmlformats.org/officeDocument/2006/relationships/hyperlink" Target="https://www.ciaoelsa.com/schede-fondo/fondi-pensione-aperti/zurich/zurich-contribution/" TargetMode="External" Id="rId37" /><Relationship Type="http://schemas.openxmlformats.org/officeDocument/2006/relationships/hyperlink" Target="https://www.ciaoelsa.com/schede-fondo/fondi-pensione-aperti/zurich/zurich-contribution/" TargetMode="External" Id="rId38" /><Relationship Type="http://schemas.openxmlformats.org/officeDocument/2006/relationships/hyperlink" Target="https://www.ciaoelsa.com/schede-fondo/fondi-pensione-aperti/zurich/zurich-contribution/" TargetMode="External" Id="rId39" /><Relationship Type="http://schemas.openxmlformats.org/officeDocument/2006/relationships/hyperlink" Target="https://www.ciaoelsa.com/schede-fondo/fondi-pensione-aperti/zurich/zurich-zed-omnifund/" TargetMode="External" Id="rId40" /><Relationship Type="http://schemas.openxmlformats.org/officeDocument/2006/relationships/hyperlink" Target="https://www.ciaoelsa.com/schede-fondo/fondi-pensione-aperti/zurich/zurich-zed-omnifund/" TargetMode="External" Id="rId41" /><Relationship Type="http://schemas.openxmlformats.org/officeDocument/2006/relationships/hyperlink" Target="https://www.ciaoelsa.com/schede-fondo/fondi-pensione-aperti/zurich/zurich-zed-omnifund/" TargetMode="External" Id="rId42" /><Relationship Type="http://schemas.openxmlformats.org/officeDocument/2006/relationships/hyperlink" Target="https://www.ciaoelsa.com/schede-fondo/fondi-pensione-aperti/zurich/zurich-zed-omnifund/" TargetMode="External" Id="rId43" /><Relationship Type="http://schemas.openxmlformats.org/officeDocument/2006/relationships/hyperlink" Target="https://www.ciaoelsa.com/schede-fondo/fondi-pensione-aperti/zurich/zurich-zed-omnifund/" TargetMode="External" Id="rId44" /><Relationship Type="http://schemas.openxmlformats.org/officeDocument/2006/relationships/hyperlink" Target="https://www.ciaoelsa.com/schede-fondo/fondi-pensione-aperti/itas/itas-plurifonds/" TargetMode="External" Id="rId45" /><Relationship Type="http://schemas.openxmlformats.org/officeDocument/2006/relationships/hyperlink" Target="https://www.ciaoelsa.com/schede-fondo/fondi-pensione-aperti/itas/itas-plurifonds/" TargetMode="External" Id="rId46" /><Relationship Type="http://schemas.openxmlformats.org/officeDocument/2006/relationships/hyperlink" Target="https://www.ciaoelsa.com/schede-fondo/fondi-pensione-aperti/itas/itas-plurifonds/" TargetMode="External" Id="rId47" /><Relationship Type="http://schemas.openxmlformats.org/officeDocument/2006/relationships/hyperlink" Target="https://www.ciaoelsa.com/schede-fondo/fondi-pensione-aperti/itas/itas-plurifonds/" TargetMode="External" Id="rId48" /><Relationship Type="http://schemas.openxmlformats.org/officeDocument/2006/relationships/hyperlink" Target="https://www.ciaoelsa.com/schede-fondo/fondi-pensione-aperti/itas/itas-plurifonds/" TargetMode="External" Id="rId49" /><Relationship Type="http://schemas.openxmlformats.org/officeDocument/2006/relationships/hyperlink" Target="https://www.ciaoelsa.com/schede-fondo/fondi-pensione-aperti/sella/sella-eurorisparmio/" TargetMode="External" Id="rId50" /><Relationship Type="http://schemas.openxmlformats.org/officeDocument/2006/relationships/hyperlink" Target="https://www.ciaoelsa.com/schede-fondo/fondi-pensione-aperti/sella/sella-eurorisparmio/" TargetMode="External" Id="rId51" /><Relationship Type="http://schemas.openxmlformats.org/officeDocument/2006/relationships/hyperlink" Target="https://www.ciaoelsa.com/schede-fondo/fondi-pensione-aperti/sella/sella-eurorisparmio/" TargetMode="External" Id="rId52" /><Relationship Type="http://schemas.openxmlformats.org/officeDocument/2006/relationships/hyperlink" Target="https://www.ciaoelsa.com/schede-fondo/fondi-pensione-aperti/sella/sella-eurorisparmio/" TargetMode="External" Id="rId53" /><Relationship Type="http://schemas.openxmlformats.org/officeDocument/2006/relationships/hyperlink" Target="https://www.ciaoelsa.com/schede-fondo/fondi-pensione-aperti/sella/sella-eurorisparmio/" TargetMode="External" Id="rId54" /><Relationship Type="http://schemas.openxmlformats.org/officeDocument/2006/relationships/hyperlink" Target="https://www.ciaoelsa.com/schede-fondo/fondi-pensione-aperti/bcc/bcc-aureo/" TargetMode="External" Id="rId55" /><Relationship Type="http://schemas.openxmlformats.org/officeDocument/2006/relationships/hyperlink" Target="https://www.ciaoelsa.com/schede-fondo/fondi-pensione-aperti/bcc/bcc-aureo/" TargetMode="External" Id="rId56" /><Relationship Type="http://schemas.openxmlformats.org/officeDocument/2006/relationships/hyperlink" Target="https://www.ciaoelsa.com/schede-fondo/fondi-pensione-aperti/bcc/bcc-aureo/" TargetMode="External" Id="rId57" /><Relationship Type="http://schemas.openxmlformats.org/officeDocument/2006/relationships/hyperlink" Target="https://www.ciaoelsa.com/schede-fondo/fondi-pensione-aperti/bcc/bcc-aureo/" TargetMode="External" Id="rId58" /><Relationship Type="http://schemas.openxmlformats.org/officeDocument/2006/relationships/hyperlink" Target="https://www.ciaoelsa.com/schede-fondo/fondi-pensione-aperti/bcc/bcc-aureo/" TargetMode="External" Id="rId59" /><Relationship Type="http://schemas.openxmlformats.org/officeDocument/2006/relationships/hyperlink" Target="https://www.ciaoelsa.com/schede-fondo/fondi-pensione-aperti/credit-agricole/credit-agricole-vita/" TargetMode="External" Id="rId60" /><Relationship Type="http://schemas.openxmlformats.org/officeDocument/2006/relationships/hyperlink" Target="https://www.ciaoelsa.com/schede-fondo/fondi-pensione-aperti/credit-agricole/credit-agricole-vita/" TargetMode="External" Id="rId61" /><Relationship Type="http://schemas.openxmlformats.org/officeDocument/2006/relationships/hyperlink" Target="https://www.ciaoelsa.com/schede-fondo/fondi-pensione-aperti/credit-agricole/credit-agricole-vita/" TargetMode="External" Id="rId62" /><Relationship Type="http://schemas.openxmlformats.org/officeDocument/2006/relationships/hyperlink" Target="https://www.ciaoelsa.com/schede-fondo/fondi-pensione-aperti/anima/anima-arti-e-mestieri/" TargetMode="External" Id="rId63" /><Relationship Type="http://schemas.openxmlformats.org/officeDocument/2006/relationships/hyperlink" Target="https://www.ciaoelsa.com/schede-fondo/fondi-pensione-aperti/anima/anima-arti-e-mestieri/" TargetMode="External" Id="rId64" /><Relationship Type="http://schemas.openxmlformats.org/officeDocument/2006/relationships/hyperlink" Target="https://www.ciaoelsa.com/schede-fondo/fondi-pensione-aperti/anima/anima-arti-e-mestieri/" TargetMode="External" Id="rId65" /><Relationship Type="http://schemas.openxmlformats.org/officeDocument/2006/relationships/hyperlink" Target="https://www.ciaoelsa.com/schede-fondo/fondi-pensione-aperti/anima/anima-arti-e-mestieri/" TargetMode="External" Id="rId66" /><Relationship Type="http://schemas.openxmlformats.org/officeDocument/2006/relationships/hyperlink" Target="https://www.ciaoelsa.com/schede-fondo/fondi-pensione-aperti/anima/anima-arti-e-mestieri/" TargetMode="External" Id="rId67" /><Relationship Type="http://schemas.openxmlformats.org/officeDocument/2006/relationships/hyperlink" Target="https://www.ciaoelsa.com/schede-fondo/fondi-pensione-aperti/anima/anima-arti-e-mestieri/" TargetMode="External" Id="rId68" /><Relationship Type="http://schemas.openxmlformats.org/officeDocument/2006/relationships/hyperlink" Target="https://www.ciaoelsa.com/schede-fondo/fondi-pensione-aperti/amundi/amundi-secondapensione/" TargetMode="External" Id="rId69" /><Relationship Type="http://schemas.openxmlformats.org/officeDocument/2006/relationships/hyperlink" Target="https://www.ciaoelsa.com/schede-fondo/fondi-pensione-aperti/amundi/amundi-secondapensione/" TargetMode="External" Id="rId70" /><Relationship Type="http://schemas.openxmlformats.org/officeDocument/2006/relationships/hyperlink" Target="https://www.ciaoelsa.com/schede-fondo/fondi-pensione-aperti/amundi/amundi-secondapensione/" TargetMode="External" Id="rId71" /><Relationship Type="http://schemas.openxmlformats.org/officeDocument/2006/relationships/hyperlink" Target="https://www.ciaoelsa.com/schede-fondo/fondi-pensione-aperti/amundi/amundi-secondapensione/" TargetMode="External" Id="rId72" /><Relationship Type="http://schemas.openxmlformats.org/officeDocument/2006/relationships/hyperlink" Target="https://www.ciaoelsa.com/schede-fondo/fondi-pensione-aperti/amundi/amundi-secondapensione/" TargetMode="External" Id="rId73" /><Relationship Type="http://schemas.openxmlformats.org/officeDocument/2006/relationships/hyperlink" Target="https://www.ciaoelsa.com/schede-fondo/fondi-pensione-aperti/groupama/groupama-programma-open/" TargetMode="External" Id="rId74" /><Relationship Type="http://schemas.openxmlformats.org/officeDocument/2006/relationships/hyperlink" Target="https://www.ciaoelsa.com/schede-fondo/fondi-pensione-aperti/groupama/groupama-programma-open/" TargetMode="External" Id="rId75" /><Relationship Type="http://schemas.openxmlformats.org/officeDocument/2006/relationships/hyperlink" Target="https://www.ciaoelsa.com/schede-fondo/fondi-pensione-aperti/groupama/groupama-programma-open/" TargetMode="External" Id="rId76" /><Relationship Type="http://schemas.openxmlformats.org/officeDocument/2006/relationships/hyperlink" Target="https://www.ciaoelsa.com/schede-fondo/fondi-pensione-aperti/azimut/azimut-previdenza/" TargetMode="External" Id="rId77" /><Relationship Type="http://schemas.openxmlformats.org/officeDocument/2006/relationships/hyperlink" Target="https://www.ciaoelsa.com/schede-fondo/fondi-pensione-aperti/azimut/azimut-previdenza/" TargetMode="External" Id="rId78" /><Relationship Type="http://schemas.openxmlformats.org/officeDocument/2006/relationships/hyperlink" Target="https://www.ciaoelsa.com/schede-fondo/fondi-pensione-aperti/azimut/azimut-previdenza/" TargetMode="External" Id="rId79" /><Relationship Type="http://schemas.openxmlformats.org/officeDocument/2006/relationships/hyperlink" Target="https://www.ciaoelsa.com/schede-fondo/fondi-pensione-aperti/hdi/hdi-azione-di-previdenza/" TargetMode="External" Id="rId80" /><Relationship Type="http://schemas.openxmlformats.org/officeDocument/2006/relationships/hyperlink" Target="https://www.ciaoelsa.com/schede-fondo/fondi-pensione-aperti/hdi/hdi-azione-di-previdenza/" TargetMode="External" Id="rId81" /><Relationship Type="http://schemas.openxmlformats.org/officeDocument/2006/relationships/hyperlink" Target="https://www.ciaoelsa.com/schede-fondo/fondi-pensione-aperti/hdi/hdi-azione-di-previdenza/" TargetMode="External" Id="rId82" /><Relationship Type="http://schemas.openxmlformats.org/officeDocument/2006/relationships/hyperlink" Target="https://www.ciaoelsa.com/schede-fondo/fondi-pensione-aperti/hdi/hdi-azione-di-previdenza/" TargetMode="External" Id="rId83" /><Relationship Type="http://schemas.openxmlformats.org/officeDocument/2006/relationships/hyperlink" Target="https://www.ciaoelsa.com/schede-fondo/fondi-pensione-aperti/cnp-unicredit/cnp/" TargetMode="External" Id="rId84" /><Relationship Type="http://schemas.openxmlformats.org/officeDocument/2006/relationships/hyperlink" Target="https://www.ciaoelsa.com/schede-fondo/fondi-pensione-aperti/cnp-unicredit/cnp/" TargetMode="External" Id="rId85" /><Relationship Type="http://schemas.openxmlformats.org/officeDocument/2006/relationships/hyperlink" Target="https://www.ciaoelsa.com/schede-fondo/fondi-pensione-aperti/cnp-unicredit/cnp/" TargetMode="External" Id="rId86" /><Relationship Type="http://schemas.openxmlformats.org/officeDocument/2006/relationships/hyperlink" Target="https://www.ciaoelsa.com/schede-fondo/fondi-pensione-aperti/cnp-unicredit/cnp/" TargetMode="External" Id="rId87" /><Relationship Type="http://schemas.openxmlformats.org/officeDocument/2006/relationships/hyperlink" Target="https://www.ciaoelsa.com/schede-fondo/fondi-pensione-aperti/cnp-unicredit/cnp/" TargetMode="External" Id="rId88" /><Relationship Type="http://schemas.openxmlformats.org/officeDocument/2006/relationships/hyperlink" Target="https://www.ciaoelsa.com/schede-fondo/fondi-pensione-aperti/allianz/allianz-insieme/" TargetMode="External" Id="rId89" /><Relationship Type="http://schemas.openxmlformats.org/officeDocument/2006/relationships/hyperlink" Target="https://www.ciaoelsa.com/schede-fondo/fondi-pensione-aperti/allianz/allianz-insieme/" TargetMode="External" Id="rId90" /><Relationship Type="http://schemas.openxmlformats.org/officeDocument/2006/relationships/hyperlink" Target="https://www.ciaoelsa.com/schede-fondo/fondi-pensione-aperti/allianz/allianz-insieme/" TargetMode="External" Id="rId91" /><Relationship Type="http://schemas.openxmlformats.org/officeDocument/2006/relationships/hyperlink" Target="https://www.ciaoelsa.com/schede-fondo/fondi-pensione-aperti/allianz/allianz-insieme/" TargetMode="External" Id="rId92" /><Relationship Type="http://schemas.openxmlformats.org/officeDocument/2006/relationships/hyperlink" Target="https://www.ciaoelsa.com/schede-fondo/fondi-pensione-aperti/allianz/allianz-insieme/" TargetMode="External" Id="rId93" /><Relationship Type="http://schemas.openxmlformats.org/officeDocument/2006/relationships/hyperlink" Target="https://www.ciaoelsa.com/schede-fondo/fondi-pensione-aperti/allianz/allianz-insieme/" TargetMode="External" Id="rId94" /><Relationship Type="http://schemas.openxmlformats.org/officeDocument/2006/relationships/hyperlink" Target="https://www.ciaoelsa.com/schede-fondo/fondi-pensione-aperti/bim-vita/bim-vita/" TargetMode="External" Id="rId95" /><Relationship Type="http://schemas.openxmlformats.org/officeDocument/2006/relationships/hyperlink" Target="https://www.ciaoelsa.com/schede-fondo/fondi-pensione-aperti/bim-vita/bim-vita/" TargetMode="External" Id="rId96" /><Relationship Type="http://schemas.openxmlformats.org/officeDocument/2006/relationships/hyperlink" Target="https://www.ciaoelsa.com/schede-fondo/fondi-pensione-aperti/bim-vita/bim-vita/" TargetMode="External" Id="rId97" /><Relationship Type="http://schemas.openxmlformats.org/officeDocument/2006/relationships/hyperlink" Target="https://www.ciaoelsa.com/schede-fondo/fondi-pensione-aperti/bim-vita/bim-vita/" TargetMode="External" Id="rId98" /><Relationship Type="http://schemas.openxmlformats.org/officeDocument/2006/relationships/hyperlink" Target="https://www.ciaoelsa.com/schede-fondo/fondi-pensione-aperti/assimoco/assimoco-il-melograno/" TargetMode="External" Id="rId99" /><Relationship Type="http://schemas.openxmlformats.org/officeDocument/2006/relationships/hyperlink" Target="https://www.ciaoelsa.com/schede-fondo/fondi-pensione-aperti/assimoco/assimoco-il-melograno/" TargetMode="External" Id="rId100" /><Relationship Type="http://schemas.openxmlformats.org/officeDocument/2006/relationships/hyperlink" Target="https://www.ciaoelsa.com/schede-fondo/fondi-pensione-aperti/assimoco/assimoco-il-melograno/" TargetMode="External" Id="rId101" /><Relationship Type="http://schemas.openxmlformats.org/officeDocument/2006/relationships/hyperlink" Target="https://www.ciaoelsa.com/schede-fondo/fondi-pensione-aperti/assimoco/assimoco-il-melograno/" TargetMode="External" Id="rId10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ovip.it/sites/default/files/guidaintroduttivaallaprevidenzacomplementare.pdf" TargetMode="External" Id="rId1" /><Relationship Type="http://schemas.openxmlformats.org/officeDocument/2006/relationships/hyperlink" Target="https://www.covip.it/sites/default/files/legislazione_fondi/decreto_legislativo_5_dicembre_2005_n_252.pdf" TargetMode="External" Id="rId2" /><Relationship Type="http://schemas.openxmlformats.org/officeDocument/2006/relationships/hyperlink" Target="https://www.covip.it/sites/default/files/legislazione_fondi/decreto_legislativo_5_dicembre_2005_n_252.pdf" TargetMode="External" Id="rId3" /><Relationship Type="http://schemas.openxmlformats.org/officeDocument/2006/relationships/hyperlink" Target="https://www.covip.it/sites/default/files/legislazione_fondi/decreto_legislativo_5_dicembre_2005_n_252.pdf" TargetMode="External" Id="rId4" /><Relationship Type="http://schemas.openxmlformats.org/officeDocument/2006/relationships/hyperlink" Target="https://www.covip.it/sites/default/files/legislazione_fondi/decreto_legislativo_5_dicembre_2005_n_252.pdf" TargetMode="External" Id="rId5" /><Relationship Type="http://schemas.openxmlformats.org/officeDocument/2006/relationships/hyperlink" Target="https://www.covip.it/per-il-cittadino/educazione-previdenziale/faq/conferimento-tfr" TargetMode="External" Id="rId6" /><Relationship Type="http://schemas.openxmlformats.org/officeDocument/2006/relationships/hyperlink" Target="https://www.covip.it/sites/default/files/guidaintroduttivaallaprevidenzacomplementare.pdf" TargetMode="External" Id="rId7" /><Relationship Type="http://schemas.openxmlformats.org/officeDocument/2006/relationships/hyperlink" Target="https://www.covip.it/sites/default/files/legislazione_fondi/decreto_legislativo_5_dicembre_2005_n_252.pdf" TargetMode="External" Id="rId8" /><Relationship Type="http://schemas.openxmlformats.org/officeDocument/2006/relationships/hyperlink" Target="https://www.covip.it/sites/default/files/legislazione_fondi/legge_bilancio_2026.pdf" TargetMode="External" Id="rId9" /><Relationship Type="http://schemas.openxmlformats.org/officeDocument/2006/relationships/hyperlink" Target="https://www.covip.it/sites/default/files/legislazione_fondi/decreto_legislativo_5_dicembre_2005_n_252.pdf" TargetMode="External" Id="rId10" /><Relationship Type="http://schemas.openxmlformats.org/officeDocument/2006/relationships/hyperlink" Target="https://www.covip.it/per-il-cittadino/educazione-previdenziale/faq/trattamento-fiscale" TargetMode="External" Id="rId11" /><Relationship Type="http://schemas.openxmlformats.org/officeDocument/2006/relationships/hyperlink" Target="https://www.covip.it/sites/default/files/legislazione_fondi/decreto_legislativo_5_dicembre_2005_n_252.pdf" TargetMode="External" Id="rId12" /><Relationship Type="http://schemas.openxmlformats.org/officeDocument/2006/relationships/hyperlink" Target="https://www.covip.it/sites/default/files/legislazione_fondi/decreto_legislativo_5_dicembre_2005_n_252.pdf" TargetMode="External" Id="rId13" /><Relationship Type="http://schemas.openxmlformats.org/officeDocument/2006/relationships/hyperlink" Target="https://www.covip.it/sites/default/files/legislazione_fondi/decreto_legislativo_5_dicembre_2005_n_252.pdf" TargetMode="External" Id="rId14" /><Relationship Type="http://schemas.openxmlformats.org/officeDocument/2006/relationships/hyperlink" Target="https://www.covip.it/sites/default/files/legislazione_fondi/decreto_legislativo_5_dicembre_2005_n_252.pdf" TargetMode="External" Id="rId15" /><Relationship Type="http://schemas.openxmlformats.org/officeDocument/2006/relationships/hyperlink" Target="https://www.covip.it/sites/default/files/legislazione_fondi/decreto_legislativo_5_dicembre_2005_n_252.pdf" TargetMode="External" Id="rId16" /><Relationship Type="http://schemas.openxmlformats.org/officeDocument/2006/relationships/hyperlink" Target="https://www.covip.it/per-il-cittadino/educazione-previdenziale/faq/prestazioni" TargetMode="External" Id="rId17" /><Relationship Type="http://schemas.openxmlformats.org/officeDocument/2006/relationships/hyperlink" Target="https://www.covip.it/normativa/fondi-pensione/quesiti/risposta-quesito-tema-riscatto-della-posizione-individuale-parte" TargetMode="External" Id="rId18" /><Relationship Type="http://schemas.openxmlformats.org/officeDocument/2006/relationships/hyperlink" Target="https://www.covip.it/per-il-cittadino/educazione-previdenziale/faq/prestazioni" TargetMode="External" Id="rId19" /><Relationship Type="http://schemas.openxmlformats.org/officeDocument/2006/relationships/hyperlink" Target="https://www.covip.it/sites/default/files/legislazione_fondi/decreto_legislativo_5_dicembre_2005_n_252.pdf" TargetMode="External" Id="rId20" /><Relationship Type="http://schemas.openxmlformats.org/officeDocument/2006/relationships/hyperlink" Target="https://www.covip.it/sites/default/files/legislazione_fondi/decreto_legislativo_5_dicembre_2005_n_252.pdf" TargetMode="External" Id="rId21" /><Relationship Type="http://schemas.openxmlformats.org/officeDocument/2006/relationships/hyperlink" Target="https://www.covip.it/sites/default/files/notizie/esempio_supplementoni_fpa.pdf" TargetMode="External" Id="rId22" /><Relationship Type="http://schemas.openxmlformats.org/officeDocument/2006/relationships/hyperlink" Target="https://www.covip.it/sites/default/files/notizie/esempio_supplementoni_fpa.pdf" TargetMode="External" Id="rId23" /><Relationship Type="http://schemas.openxmlformats.org/officeDocument/2006/relationships/hyperlink" Target="https://www.covip.it/sites/default/files/provvedimenti/istruzioni_prestazioni_25_06_2026.pdf" TargetMode="External" Id="rId24" /><Relationship Type="http://schemas.openxmlformats.org/officeDocument/2006/relationships/hyperlink" Target="https://www.covip.it/sites/default/files/provvedimenti/istruzioni_prestazioni_25_06_2026.pdf" TargetMode="External" Id="rId25" /><Relationship Type="http://schemas.openxmlformats.org/officeDocument/2006/relationships/hyperlink" Target="https://www.covip.it/sites/default/files/provvedimenti/istruzioni_prestazioni_25_06_2026.pdf" TargetMode="External" Id="rId26" /><Relationship Type="http://schemas.openxmlformats.org/officeDocument/2006/relationships/hyperlink" Target="https://www.covip.it/sites/default/files/provvedimenti/istruzioni_prestazioni_25_06_2026.pdf" TargetMode="External" Id="rId27" /><Relationship Type="http://schemas.openxmlformats.org/officeDocument/2006/relationships/hyperlink" Target="https://www.covip.it/normativa/fondi-pensione/quesiti/premorienza-rinuncia-alleredita" TargetMode="External" Id="rId28" /><Relationship Type="http://schemas.openxmlformats.org/officeDocument/2006/relationships/hyperlink" Target="https://www.covip.it/sites/default/files/legislazione_fondi/decreto_legislativo_5_dicembre_2005_n_252.pdf" TargetMode="External" Id="rId29" /><Relationship Type="http://schemas.openxmlformats.org/officeDocument/2006/relationships/hyperlink" Target="https://www.covip.it/sites/default/files/notizie/esempio_supplementoni_fpa.pdf" TargetMode="External" Id="rId30" /><Relationship Type="http://schemas.openxmlformats.org/officeDocument/2006/relationships/hyperlink" Target="https://www.covip.it/sites/default/files/provvedimenti/istruzioni_prestazioni_25_06_2026.pdf" TargetMode="External" Id="rId31" /><Relationship Type="http://schemas.openxmlformats.org/officeDocument/2006/relationships/hyperlink" Target="https://www.covip.it/sites/default/files/notizie/esempio_supplementoni_fpa.pdf" TargetMode="External" Id="rId32" /></Relationships>
</file>

<file path=xl/worksheets/_rels/sheet4.xml.rels><Relationships xmlns="http://schemas.openxmlformats.org/package/2006/relationships"><Relationship Type="http://schemas.openxmlformats.org/officeDocument/2006/relationships/hyperlink" Target="https://demo.istat.it/app/?i=TVM&amp;l=it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covip.it/per-il-cittadino/educazione-previdenziale/glossario/f#fondi-pensione-aperti" TargetMode="External" Id="rId1" /><Relationship Type="http://schemas.openxmlformats.org/officeDocument/2006/relationships/hyperlink" Target="https://www.covip.it/per-il-cittadino/educazione-previdenziale/glossario/f#fondi-pensione" TargetMode="External" Id="rId2" /><Relationship Type="http://schemas.openxmlformats.org/officeDocument/2006/relationships/hyperlink" Target="https://www.covip.it/per-il-cittadino/educazione-previdenziale/glossario/a#albo-delle-forme-pensionistiche-complementari" TargetMode="External" Id="rId3" /><Relationship Type="http://schemas.openxmlformats.org/officeDocument/2006/relationships/hyperlink" Target="https://www.covip.it/per-il-cittadino/educazione-previdenziale/glossario/f#fondi-pensione" TargetMode="External" Id="rId4" /><Relationship Type="http://schemas.openxmlformats.org/officeDocument/2006/relationships/hyperlink" Target="https://www.covip.it/per-il-cittadino/educazione-previdenziale/glossario/a#adesione" TargetMode="External" Id="rId5" /><Relationship Type="http://schemas.openxmlformats.org/officeDocument/2006/relationships/hyperlink" Target="https://www.covip.it/per-il-cittadino/educazione-previdenziale/glossario/m#montante-individuale" TargetMode="External" Id="rId6" /><Relationship Type="http://schemas.openxmlformats.org/officeDocument/2006/relationships/hyperlink" Target="https://www.covip.it/per-il-cittadino/educazione-previdenziale/glossario/n#nota-informativa" TargetMode="External" Id="rId7" /><Relationship Type="http://schemas.openxmlformats.org/officeDocument/2006/relationships/hyperlink" Target="https://www.covip.it/sites/default/files/guidaintroduttivaallaprevidenzacomplementare.pdf" TargetMode="External" Id="rId8" /><Relationship Type="http://schemas.openxmlformats.org/officeDocument/2006/relationships/hyperlink" Target="https://www.ciaoelsa.com/" TargetMode="External" Id="rId9" /><Relationship Type="http://schemas.openxmlformats.org/officeDocument/2006/relationships/hyperlink" Target="https://www.ciaoelsa.com/sottoscrizione-fondi-pensione-su-ciao-elsa" TargetMode="External" Id="rId10" /><Relationship Type="http://schemas.openxmlformats.org/officeDocument/2006/relationships/hyperlink" Target="https://www.covip.it/per-il-cittadino/educazione-previdenziale/glossario/c#comparto" TargetMode="External" Id="rId11" /><Relationship Type="http://schemas.openxmlformats.org/officeDocument/2006/relationships/hyperlink" Target="https://www.covip.it/per-il-cittadino/educazione-previdenziale/glossario/m#multicomparto" TargetMode="External" Id="rId12" /><Relationship Type="http://schemas.openxmlformats.org/officeDocument/2006/relationships/hyperlink" Target="https://www.covip.it/per-il-cittadino/educazione-previdenziale/glossario/m#multicomparto" TargetMode="External" Id="rId13" /><Relationship Type="http://schemas.openxmlformats.org/officeDocument/2006/relationships/hyperlink" Target="https://www.covip.it/per-il-cittadino/educazione-previdenziale/glossario/m#multicomparto" TargetMode="External" Id="rId14" /><Relationship Type="http://schemas.openxmlformats.org/officeDocument/2006/relationships/hyperlink" Target="https://www.covip.it/per-il-cittadino/educazione-previdenziale/glossario/c#comparti-garantiti" TargetMode="External" Id="rId15" /><Relationship Type="http://schemas.openxmlformats.org/officeDocument/2006/relationships/hyperlink" Target="https://www.covip.it/sites/default/files/guidaintroduttivaallaprevidenzacomplementare.pdf" TargetMode="External" Id="rId16" /><Relationship Type="http://schemas.openxmlformats.org/officeDocument/2006/relationships/hyperlink" Target="https://www.covip.it/per-il-cittadino/educazione-previdenziale/glossario/e#esg" TargetMode="External" Id="rId17" /><Relationship Type="http://schemas.openxmlformats.org/officeDocument/2006/relationships/hyperlink" Target="https://www.covip.it/per-il-cittadino/educazione-previdenziale/glossario/l#life-cycle" TargetMode="External" Id="rId18" /><Relationship Type="http://schemas.openxmlformats.org/officeDocument/2006/relationships/hyperlink" Target="https://www.covip.it/sites/default/files/guidaintroduttivaallaprevidenzacomplementare.pdf" TargetMode="External" Id="rId19" /><Relationship Type="http://schemas.openxmlformats.org/officeDocument/2006/relationships/hyperlink" Target="https://www.covip.it/per-il-cittadino/educazione-previdenziale/glossario/i#isc-indicatore-sintetico-dei-costi" TargetMode="External" Id="rId20" /><Relationship Type="http://schemas.openxmlformats.org/officeDocument/2006/relationships/hyperlink" Target="https://www.covip.it/per-il-cittadino/educazione-previdenziale/glossario/i#isc-indicatore-sintetico-dei-costi" TargetMode="External" Id="rId21" /><Relationship Type="http://schemas.openxmlformats.org/officeDocument/2006/relationships/hyperlink" Target="https://www.covip.it/per-il-cittadino/educazione-previdenziale/glossario/i#isc-indicatore-sintetico-dei-costi" TargetMode="External" Id="rId22" /><Relationship Type="http://schemas.openxmlformats.org/officeDocument/2006/relationships/hyperlink" Target="https://www.covip.it/per-il-cittadino/educazione-previdenziale/glossario/i#isc-indicatore-sintetico-dei-costi" TargetMode="External" Id="rId23" /><Relationship Type="http://schemas.openxmlformats.org/officeDocument/2006/relationships/hyperlink" Target="https://www.covip.it/per-il-cittadino/educazione-previdenziale/glossario/i#isc-indicatore-sintetico-dei-costi" TargetMode="External" Id="rId24" /><Relationship Type="http://schemas.openxmlformats.org/officeDocument/2006/relationships/hyperlink" Target="https://www.covip.it/sites/default/files/guidaintroduttivaallaprevidenzacomplementare.pdf" TargetMode="External" Id="rId25" /><Relationship Type="http://schemas.openxmlformats.org/officeDocument/2006/relationships/hyperlink" Target="https://www.covip.it/per-il-cittadino/educazione-previdenziale/glossario/t#trattamento-di-fine-rapporto-tfr" TargetMode="External" Id="rId26" /><Relationship Type="http://schemas.openxmlformats.org/officeDocument/2006/relationships/hyperlink" Target="https://www.covip.it/per-il-cittadino/educazione-previdenziale/glossario/d#deducibilit" TargetMode="External" Id="rId27" /><Relationship Type="http://schemas.openxmlformats.org/officeDocument/2006/relationships/hyperlink" Target="https://www.covip.it/per-il-cittadino/educazione-previdenziale/glossario/a#anticipazione" TargetMode="External" Id="rId28" /><Relationship Type="http://schemas.openxmlformats.org/officeDocument/2006/relationships/hyperlink" Target="https://www.covip.it/per-il-cittadino/educazione-previdenziale/glossario/r#riscatto" TargetMode="External" Id="rId29" /><Relationship Type="http://schemas.openxmlformats.org/officeDocument/2006/relationships/hyperlink" Target="https://www.covip.it/per-il-cittadino/educazione-previdenziale/glossario/r#rita-rendita-integrativa-temporanea-anticipata" TargetMode="External" Id="rId30" /><Relationship Type="http://schemas.openxmlformats.org/officeDocument/2006/relationships/hyperlink" Target="https://www.covip.it/per-il-cittadino/educazione-previdenziale/glossario/t#trasferimento" TargetMode="External" Id="rId31" /><Relationship Type="http://schemas.openxmlformats.org/officeDocument/2006/relationships/hyperlink" Target="https://www.covip.it/per-il-cittadino/educazione-previdenziale/glossario/p#prestazione-pensionistica-complementare" TargetMode="External" Id="rId32" /><Relationship Type="http://schemas.openxmlformats.org/officeDocument/2006/relationships/hyperlink" Target="https://www.covip.it/sites/default/files/legislazione_fondi/decreto_legislativo_5_dicembre_2005_n_252.pdf" TargetMode="External" Id="rId33" /><Relationship Type="http://schemas.openxmlformats.org/officeDocument/2006/relationships/hyperlink" Target="https://www.covip.it/per-il-cittadino/educazione-previdenziale/glossario/r#rendita-vitalizia" TargetMode="External" Id="rId34" /><Relationship Type="http://schemas.openxmlformats.org/officeDocument/2006/relationships/hyperlink" Target="https://www.covip.it/per-il-cittadino/educazione-previdenziale/glossario/c#coefficiente-di-trasformazione-in-rendita" TargetMode="External" Id="rId35" /><Relationship Type="http://schemas.openxmlformats.org/officeDocument/2006/relationships/hyperlink" Target="https://www.covip.it/sites/default/files/guidaintroduttivaallaprevidenzacomplementare.pdf" TargetMode="External" Id="rId36" /><Relationship Type="http://schemas.openxmlformats.org/officeDocument/2006/relationships/hyperlink" Target="https://www.covip.it/sites/default/files/notizie/esempio_supplementoni_fpa.pdf" TargetMode="External" Id="rId37" /><Relationship Type="http://schemas.openxmlformats.org/officeDocument/2006/relationships/hyperlink" Target="https://www.covip.it/sites/default/files/notizie/esempio_supplementoni_fpa.pdf" TargetMode="External" Id="rId38" /><Relationship Type="http://schemas.openxmlformats.org/officeDocument/2006/relationships/hyperlink" Target="https://www.covip.it/sites/default/files/notizie/esempio_supplementoni_fpa.pdf" TargetMode="External" Id="rId39" /><Relationship Type="http://schemas.openxmlformats.org/officeDocument/2006/relationships/hyperlink" Target="https://www.covip.it/per-il-cittadino/educazione-previdenziale/glossario/l#long-term-care" TargetMode="External" Id="rId40" /><Relationship Type="http://schemas.openxmlformats.org/officeDocument/2006/relationships/hyperlink" Target="https://www.covip.it/per-il-cittadino/educazione-previdenziale/glossario/p#prestazione-pensionistica-complementare" TargetMode="External" Id="rId41" /><Relationship Type="http://schemas.openxmlformats.org/officeDocument/2006/relationships/hyperlink" Target="https://www.covip.it/per-il-cittadino/educazione-previdenziale/glossario/p#prestazione-pensionistica-complementare" TargetMode="External" Id="rId42" /><Relationship Type="http://schemas.openxmlformats.org/officeDocument/2006/relationships/hyperlink" Target="https://www.covip.it/per-il-cittadino/educazione-previdenziale/glossario/p#prestazione-pensionistica-complementare" TargetMode="External" Id="rId43" /><Relationship Type="http://schemas.openxmlformats.org/officeDocument/2006/relationships/hyperlink" Target="https://www.covip.it/sites/default/files/provvedimenti/istruzioni_prestazioni_25_06_2026.pdf" TargetMode="External" Id="rId44" /><Relationship Type="http://schemas.openxmlformats.org/officeDocument/2006/relationships/hyperlink" Target="https://www.covip.it/sites/default/files/provvedimenti/istruzioni_prestazioni_25_06_2026.pdf" TargetMode="External" Id="rId45" /><Relationship Type="http://schemas.openxmlformats.org/officeDocument/2006/relationships/hyperlink" Target="https://www.covip.it/per-il-cittadino/educazione-previdenziale/glossario/r#rischio-di-longevit" TargetMode="External" Id="rId46" /><Relationship Type="http://schemas.openxmlformats.org/officeDocument/2006/relationships/hyperlink" Target="https://www.covip.it/per-il-cittadino/educazione-previdenziale/glossario/s#speranza-di-vita-allet-x" TargetMode="External" Id="rId47" /><Relationship Type="http://schemas.openxmlformats.org/officeDocument/2006/relationships/hyperlink" Target="https://www.covip.it/per-il-cittadino/educazione-previdenziale/glossario/t#tavole-di-mortalit" TargetMode="External" Id="rId48" /><Relationship Type="http://schemas.openxmlformats.org/officeDocument/2006/relationships/hyperlink" Target="https://www.covip.it/sites/default/files/legislazione_fondi/decreto_legislativo_5_dicembre_2005_n_252.pdf" TargetMode="External" Id="rId49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allianz.it/content/dam/onemarketing/azit/allianz-it/le-soluzioni-per-te/previdenza/documento-rendite-allianz-previdenza.pdf" TargetMode="External" Id="rId1" /><Relationship Type="http://schemas.openxmlformats.org/officeDocument/2006/relationships/hyperlink" Target="https://www.allianz.it/content/dam/onemarketing/azit/allianz-it/le-soluzioni-per-te/previdenza/costi-allianz-previdenza.pdf" TargetMode="External" Id="rId2" /><Relationship Type="http://schemas.openxmlformats.org/officeDocument/2006/relationships/hyperlink" Target="https://www.allianz.it/content/dam/onemarketing/azit/allianz-it/le-soluzioni-per-te/previdenza/supplemento-nota-informativa-allianz-previdenza.pdf" TargetMode="External" Id="rId3" /><Relationship Type="http://schemas.openxmlformats.org/officeDocument/2006/relationships/hyperlink" Target="https://www.axa-mps.it/c/document_library/get_file?groupId=715633&amp;uuid=d7b321fd-ca25-0cbc-9f2e-26bd822cb08f" TargetMode="External" Id="rId4" /><Relationship Type="http://schemas.openxmlformats.org/officeDocument/2006/relationships/hyperlink" Target="https://www.axa-mps.it/c/document_library/get_file?groupId=715633&amp;uuid=dc15cfda-948d-6115-5cf4-348e2262781f" TargetMode="External" Id="rId5" /><Relationship Type="http://schemas.openxmlformats.org/officeDocument/2006/relationships/hyperlink" Target="https://www.axa-mps.it/c/document_library/get_file?groupId=715633&amp;uuid=d0170087-0f8e-d74b-2bde-94744cb9bf4f" TargetMode="External" Id="rId6" /><Relationship Type="http://schemas.openxmlformats.org/officeDocument/2006/relationships/hyperlink" Target="https://cdn.alleanza.it/-/media/alleanza/assets/documenti/live0030_documento-sulle-rendite-almeglio_pdf.pdf" TargetMode="External" Id="rId7" /><Relationship Type="http://schemas.openxmlformats.org/officeDocument/2006/relationships/hyperlink" Target="https://cdn.alleanza.it/-/media/alleanza/assets/prodotti/almeglio/almeglio_scheda_i-costi_31052021.pdf" TargetMode="External" Id="rId8" /><Relationship Type="http://schemas.openxmlformats.org/officeDocument/2006/relationships/hyperlink" Target="https://www.generali.it/cmsassets/site/d1dfb33f-f1fe-4d14-b823-b36b16f7cacc/FPA_GG_Documento_sulle_rendite_2026-07.pdf" TargetMode="External" Id="rId9" /><Relationship Type="http://schemas.openxmlformats.org/officeDocument/2006/relationships/hyperlink" Target="https://www.generali.it/cmsassets/site/45b95744-2d89-4a51-931f-556328e4cded/2026-07_FPA_GG_NI_Scheda_Costi.pdf" TargetMode="External" Id="rId10" /><Relationship Type="http://schemas.openxmlformats.org/officeDocument/2006/relationships/hyperlink" Target="https://www.generali.it/cmsassets/site/faf78674-3c33-4b7a-9cc7-7bb071db2a6d/2026-07_FPA_GG_NI_Supplemento_v2.pdf" TargetMode="External" Id="rId11" /><Relationship Type="http://schemas.openxmlformats.org/officeDocument/2006/relationships/hyperlink" Target="https://www.intesasanpaoloassicurazioni.com/bin/openAssetInline?path=/content/dam/isp_assicurazioni/products/regolamento-e-nota-informativa/001/PS_Documento%20sulle%20rendite_06_2026.pdf" TargetMode="External" Id="rId12" /><Relationship Type="http://schemas.openxmlformats.org/officeDocument/2006/relationships/hyperlink" Target="https://www.intesasanpaoloassicurazioni.com/bin/openAssetInline?path=/content/dam/isp_assicurazioni/products/regolamento-e-nota-informativa/001/PrevidSystem_NotaInformativa_03_2026_UA.pdf" TargetMode="External" Id="rId13" /><Relationship Type="http://schemas.openxmlformats.org/officeDocument/2006/relationships/hyperlink" Target="https://www.intesasanpaoloassicurazioni.com/bin/openAssetInline?path=/content/dam/isp_assicurazioni/products/regolamento-e-nota-informativa/001/PS_Supplemento_NI_07_2026.pdf" TargetMode="External" Id="rId14" /><Relationship Type="http://schemas.openxmlformats.org/officeDocument/2006/relationships/hyperlink" Target="https://www.realemutua.it/grmashare/1/DocumentiCovip/Note%20Informative/Nota%20Informativa%20Parte%20I%20Scheda%20I%20Costi%20-%20Teseo%20-%202026-07.pdf" TargetMode="External" Id="rId15" /><Relationship Type="http://schemas.openxmlformats.org/officeDocument/2006/relationships/hyperlink" Target="https://www.unicreditallianzvita.it/content/dam/onemarketing/crv/unicreditallianzvita-it/le-soluzioni-per-te/archivio-prodotti/previdenza/unicredit-fondo-pensione-aperto/31-07-2026/Documento_sulle_Rendite_FPA_31_07_2026_def.pdf" TargetMode="External" Id="rId16" /><Relationship Type="http://schemas.openxmlformats.org/officeDocument/2006/relationships/hyperlink" Target="https://www.unicreditallianzvita.it/content/dam/onemarketing/crv/unicreditallianzvita-it/le-soluzioni-per-te/archivio-prodotti/previdenza/unicredit-fondo-pensione-aperto/30-03-2026/Scheda_I_costi_UNICREDIT_FPA_03_2026.pdf" TargetMode="External" Id="rId17" /><Relationship Type="http://schemas.openxmlformats.org/officeDocument/2006/relationships/hyperlink" Target="https://www.unicreditallianzvita.it/content/dam/onemarketing/crv/unicreditallianzvita-it/le-soluzioni-per-te/archivio-prodotti/previdenza/unicredit-fondo-pensione-aperto/31-07-2026/Supplemento_NI_FPA_31_07_2026_def.pdf" TargetMode="External" Id="rId18" /><Relationship Type="http://schemas.openxmlformats.org/officeDocument/2006/relationships/hyperlink" Target="https://www.mediolanumgestionefondi.it/static-assets/documenti/file/it/2026/07/31//Doc_ErogRendite_PreviMGF.pdf" TargetMode="External" Id="rId19" /><Relationship Type="http://schemas.openxmlformats.org/officeDocument/2006/relationships/hyperlink" Target="https://www.mediolanumgestionefondi.it/static-assets/documenti/previgest/SchedaCosti_PreviMGF.pdf" TargetMode="External" Id="rId20" /><Relationship Type="http://schemas.openxmlformats.org/officeDocument/2006/relationships/hyperlink" Target="https://www.mediolanumgestionefondi.it/static-assets/documenti/file/it/2026/07/31//Supplemento_alla_nota_informativa.pdf" TargetMode="External" Id="rId21" /><Relationship Type="http://schemas.openxmlformats.org/officeDocument/2006/relationships/hyperlink" Target="https://edge.sitecorecloud.io/zurichinsurf8c0-zwpshared-prod-d824/media/project/zurich-headless/italy/files/covip-schede-costi/zurich-contribution_nota-informativa_parte-i-scheda-i-costi-032026_prot.pdf" TargetMode="External" Id="rId22" /><Relationship Type="http://schemas.openxmlformats.org/officeDocument/2006/relationships/hyperlink" Target="https://edge.sitecorecloud.io/zurichinsurf8c0-zwpshared-prod-d824/media/project/zurich-headless/italy/files/covip-schede-costi/zed-omnifund_nota-informativa_parte-i-scheda-i-costi-032026_prot.pdf" TargetMode="External" Id="rId23" /><Relationship Type="http://schemas.openxmlformats.org/officeDocument/2006/relationships/hyperlink" Target="https://www.gruppoitas.it/documents/20121/0/7.%20Documento_sulle_rendite_Plurifonds.pdf/f0ac2f9d-47eb-f9e5-4412-767014298b9c" TargetMode="External" Id="rId24" /><Relationship Type="http://schemas.openxmlformats.org/officeDocument/2006/relationships/hyperlink" Target="https://www.ca-vita.it/media/filer_public/2f/ef/2fef7010-3cd6-48e1-a572-4841ba4fd387/doc_rendite_fpa_2022_05.pdf" TargetMode="External" Id="rId25" /><Relationship Type="http://schemas.openxmlformats.org/officeDocument/2006/relationships/hyperlink" Target="https://www.ca-vita.it/media/filer_public/3d/8c/3d8c85f6-7565-4a1c-b3f3-a7b8c93e3d69/supplemento_ni_fpa.pdf" TargetMode="External" Id="rId26" /><Relationship Type="http://schemas.openxmlformats.org/officeDocument/2006/relationships/hyperlink" Target="https://www.animasgr.it/d/IT/Downloads/Documents/AM_DocumentoSulleRendite.pdf" TargetMode="External" Id="rId27" /><Relationship Type="http://schemas.openxmlformats.org/officeDocument/2006/relationships/hyperlink" Target="https://www.animasgr.it/d/IT/Downloads/Documents/AM_Parte_I_Scheda_I_Costi.pdf" TargetMode="External" Id="rId28" /><Relationship Type="http://schemas.openxmlformats.org/officeDocument/2006/relationships/hyperlink" Target="https://www.animasgr.it/d/IT/Downloads/Documents/AM_SupplementoNotaInformativa.pdf" TargetMode="External" Id="rId29" /><Relationship Type="http://schemas.openxmlformats.org/officeDocument/2006/relationships/hyperlink" Target="https://www.secondapensione.it/files/nuxeo/dl/3b35a7d4-61a4-48ca-b6ff-1e8579f988fb" TargetMode="External" Id="rId30" /><Relationship Type="http://schemas.openxmlformats.org/officeDocument/2006/relationships/hyperlink" Target="https://www.secondapensione.it/files/nuxeo/dl/e635f73f-3912-4896-8f1e-bd64bf0aa018" TargetMode="External" Id="rId31" /><Relationship Type="http://schemas.openxmlformats.org/officeDocument/2006/relationships/hyperlink" Target="https://www.secondapensione.it/files/nuxeo/dl/499c2f11-fe4c-4989-b972-aeaf08f00d9b" TargetMode="External" Id="rId32" /><Relationship Type="http://schemas.openxmlformats.org/officeDocument/2006/relationships/hyperlink" Target="https://www.intesasanpaoloassicurazioni.com/bin/openAssetInline?path=/content/dam/isp_assicurazioni/products/regolamento-e-nota-informativa/005/GIUST_Documento%20sulle%20rendite_07_2026.pdf" TargetMode="External" Id="rId33" /><Relationship Type="http://schemas.openxmlformats.org/officeDocument/2006/relationships/hyperlink" Target="https://www.intesasanpaoloassicurazioni.com/bin/openAssetInline?path=/content/dam/isp_assicurazioni/products/regolamento-e-nota-informativa/005/Giustiniano_Scheda_Costi_03_2026_UA.pdf" TargetMode="External" Id="rId34" /><Relationship Type="http://schemas.openxmlformats.org/officeDocument/2006/relationships/hyperlink" Target="https://www.intesasanpaoloassicurazioni.com/bin/openAssetInline?path=/content/dam/isp_assicurazioni/products/regolamento-e-nota-informativa/005/GIUST_Supplemento_NI_07_2026.pdf" TargetMode="External" Id="rId35" /><Relationship Type="http://schemas.openxmlformats.org/officeDocument/2006/relationships/hyperlink" Target="https://cdn.groupama.it/app/uploads/2026/07/78_Programma-Open-Documento-sulle-rendite_072026.pdf" TargetMode="External" Id="rId36" /><Relationship Type="http://schemas.openxmlformats.org/officeDocument/2006/relationships/hyperlink" Target="https://cdn.groupama.it/app/uploads/2026/03/Parte-I_I-costi-1.pdf" TargetMode="External" Id="rId37" /><Relationship Type="http://schemas.openxmlformats.org/officeDocument/2006/relationships/hyperlink" Target="https://cdn.groupama.it/app/uploads/2026/08/Supplemento-Nota-Informativa-Programma-Open_202607.pdf" TargetMode="External" Id="rId38" /><Relationship Type="http://schemas.openxmlformats.org/officeDocument/2006/relationships/hyperlink" Target="https://www.intesasanpaoloassicurazioni.com/bin/openAssetInline?path=/content/dam/isp_assicurazioni/products/regolamento-e-nota-informativa/006/IMD_Documento%20sulle%20Rendite_07_2026.pdf" TargetMode="External" Id="rId39" /><Relationship Type="http://schemas.openxmlformats.org/officeDocument/2006/relationships/hyperlink" Target="https://www.intesasanpaoloassicurazioni.com/bin/openAssetInline?path=/content/dam/isp_assicurazioni/products/regolamento-e-nota-informativa/006/Scheda%20I%20Costi%20Il%20Mio%20Domani%2003-2026%20UA.pdf" TargetMode="External" Id="rId40" /><Relationship Type="http://schemas.openxmlformats.org/officeDocument/2006/relationships/hyperlink" Target="https://www.intesasanpaoloassicurazioni.com/bin/openAssetInline?path=/content/dam/isp_assicurazioni/products/regolamento-e-nota-informativa/006/IMD_Supplemento_NI_07_2026.pdf" TargetMode="External" Id="rId41" /><Relationship Type="http://schemas.openxmlformats.org/officeDocument/2006/relationships/hyperlink" Target="https://hdiassicurazioni.youser.tech/upl/documents/prodotti/azione-di-previdenza/Azione_di_Previdenza_documento_sulle_rendite_FPA_07-2026_def.pdf" TargetMode="External" Id="rId42" /><Relationship Type="http://schemas.openxmlformats.org/officeDocument/2006/relationships/hyperlink" Target="https://hdiassicurazioni.youser.tech/upl/documents/prodotti/azione-di-previdenza/PARTE_I_SCHEDA_I_COSTI_07-2026_def.pdf" TargetMode="External" Id="rId43" /><Relationship Type="http://schemas.openxmlformats.org/officeDocument/2006/relationships/hyperlink" Target="https://hdiassicurazioni.youser.tech/upl/documents/prodotti/azione-di-previdenza/Supplemento_FPA_07-2026.pdf" TargetMode="External" Id="rId44" /><Relationship Type="http://schemas.openxmlformats.org/officeDocument/2006/relationships/hyperlink" Target="https://gruppocnp.it/sites/default/files/FPA%20CNP_Documento%20sulle%20Rendite_99247_072026_def.pdf" TargetMode="External" Id="rId45" /><Relationship Type="http://schemas.openxmlformats.org/officeDocument/2006/relationships/hyperlink" Target="https://gruppocnp.it/sites/default/files/FPA_CNP_Parte_I_i_costi_032026_valido_dal_31032026.pdf" TargetMode="External" Id="rId46" /><Relationship Type="http://schemas.openxmlformats.org/officeDocument/2006/relationships/hyperlink" Target="https://gruppocnp.it/sites/default/files/Supplemento_nota_informativa_prestazioni_FPA_valido_dal_31072026.pdf" TargetMode="External" Id="rId47" /><Relationship Type="http://schemas.openxmlformats.org/officeDocument/2006/relationships/hyperlink" Target="https://www.allianz.it/content/dam/onemarketing/azit/allianz-it/le-soluzioni-per-te/previdenza/documento-rendite-insieme.pdf" TargetMode="External" Id="rId48" /><Relationship Type="http://schemas.openxmlformats.org/officeDocument/2006/relationships/hyperlink" Target="https://www.allianz.it/content/dam/onemarketing/azit/allianz-it/le-soluzioni-per-te/previdenza/costi-insieme.pdf" TargetMode="External" Id="rId49" /><Relationship Type="http://schemas.openxmlformats.org/officeDocument/2006/relationships/hyperlink" Target="https://www.allianz.it/content/dam/onemarketing/azit/allianz-it/le-soluzioni-per-te/previdenza/supplemento-nota-informativa-insieme.pdf" TargetMode="External" Id="rId50" /><Relationship Type="http://schemas.openxmlformats.org/officeDocument/2006/relationships/hyperlink" Target="https://www.unipol.it/content/dam/unipol/documents/italiano/privati/previdenza-e-risparmio/previdenza/fondo-pensione-aperto-bv/documentazione/b-fpa-bv-skcosti-2026-07.pdf" TargetMode="External" Id="rId51" /><Relationship Type="http://schemas.openxmlformats.org/officeDocument/2006/relationships/hyperlink" Target="https://www.unipol.it/content/dam/unipol/documents/italiano/privati/previdenza-e-risparmio/previdenza/fondo-pensione-aperto-bv/documentazione/supplemento-fpa-bv-2026-07-v2.pdf" TargetMode="External" Id="rId52" /><Relationship Type="http://schemas.openxmlformats.org/officeDocument/2006/relationships/hyperlink" Target="https://www.fondopensioneprofi.com/sites/default/files/materiali/documentazione/Offerta/DocumentoRendite.pdf" TargetMode="External" Id="rId53" /><Relationship Type="http://schemas.openxmlformats.org/officeDocument/2006/relationships/hyperlink" Target="https://www.fondopensioneprofi.com/sites/default/files/materiali/documentazione/Offerta/Icosti.pdf" TargetMode="External" Id="rId54" /><Relationship Type="http://schemas.openxmlformats.org/officeDocument/2006/relationships/hyperlink" Target="https://www.fondopensioneprofi.com/sites/default/files/materiali/documentazione/Offerta/Supplemento_PrestazioniPensionistiche.pdf" TargetMode="External" Id="rId55" /><Relationship Type="http://schemas.openxmlformats.org/officeDocument/2006/relationships/hyperlink" Target="https://www.raiffeisenpensionsfonds.it/fileadmin/RGO/Pensionsfonds/Allgemeine_Unterlagen/IT/5_Documento_sulle_rendite.pdf" TargetMode="External" Id="rId56" /><Relationship Type="http://schemas.openxmlformats.org/officeDocument/2006/relationships/hyperlink" Target="https://www.raiffeisenpensionsfonds.it/fileadmin/RGO/Pensionsfonds/Allgemeine_Unterlagen/IT/2.3_Nota_informativa_-_Parte_1_Informazioni_chiave_per_aderente_-_Scheda_I_costi.pdf" TargetMode="External" Id="rId57" /><Relationship Type="http://schemas.openxmlformats.org/officeDocument/2006/relationships/hyperlink" Target="https://www.raiffeisenpensionsfonds.it/fileadmin/RGO/Pensionsfonds/Allgemeine_Unterlagen/IT/Supplemento_Nota_informativa_prestazioni_pensionistiche_31.07.2026.pdf" TargetMode="External" Id="rId58" /><Relationship Type="http://schemas.openxmlformats.org/officeDocument/2006/relationships/hyperlink" Target="https://www.intesasanpaoloassicurazioni.com/bin/openAssetInline?path=/content/dam/isp_assicurazioni/products/regolamento-e-nota-informativa/011-1/UBIPREV_Documento%20sulle%20rendite.07_2026.pdf" TargetMode="External" Id="rId59" /><Relationship Type="http://schemas.openxmlformats.org/officeDocument/2006/relationships/hyperlink" Target="https://www.intesasanpaoloassicurazioni.com/bin/openAssetInline?path=/content/dam/isp_assicurazioni/products/regolamento-e-nota-informativa/011/UBIPrev_Scheda_I_Costi_03_2026_UA.pdf" TargetMode="External" Id="rId60" /><Relationship Type="http://schemas.openxmlformats.org/officeDocument/2006/relationships/hyperlink" Target="https://www.intesasanpaoloassicurazioni.com/bin/openAssetInline?path=/content/dam/isp_assicurazioni/products/regolamento-e-nota-informativa/011/UBIPrev_Supplemento_NI_07_2026.pdf" TargetMode="External" Id="rId61" /><Relationship Type="http://schemas.openxmlformats.org/officeDocument/2006/relationships/hyperlink" Target="https://www.helvetia.com/content/dam/os/it/web/it/prodotti-e-servizi/prodotti_dedicati_alla_previdenza_complementare/fpa_soluzione_previdente/2026/202607/Doc_Rendite_FPA%20Soluzione%20Previdente_07_2026.pdf" TargetMode="External" Id="rId62" /><Relationship Type="http://schemas.openxmlformats.org/officeDocument/2006/relationships/hyperlink" Target="https://www.helvetia.com/content/dam/os/it/web/it/prodotti-e-servizi/prodotti_dedicati_alla_previdenza_complementare/fpa_soluzione_previdente/2026/SchedaICosti_FPASolPrev.pdf" TargetMode="External" Id="rId63" /><Relationship Type="http://schemas.openxmlformats.org/officeDocument/2006/relationships/hyperlink" Target="https://www.helvetia.com/content/dam/os/it/web/it/prodotti-e-servizi/prodotti_dedicati_alla_previdenza_complementare/fpa_soluzione_previdente/2026/202607/Supplemento%20NotaInfo_FPASolPrev.pdf" TargetMode="External" Id="rId64" /><Relationship Type="http://schemas.openxmlformats.org/officeDocument/2006/relationships/hyperlink" Target="https://www.intesasanpaoloassicurazioni.com/bin/openAssetInline?path=/content/dam/isp_assicurazioni/products/regolamento-e-nota-informativa/012/BAPPENS_Documento%20sulle%20rendite_07_2026.pdf" TargetMode="External" Id="rId65" /><Relationship Type="http://schemas.openxmlformats.org/officeDocument/2006/relationships/hyperlink" Target="https://www.intesasanpaoloassicurazioni.com/bin/openAssetInline?path=/content/dam/isp_assicurazioni/products/regolamento-e-nota-informativa/012/BAPPen_Scheda_I_Costi_03_2026.pdf" TargetMode="External" Id="rId66" /><Relationship Type="http://schemas.openxmlformats.org/officeDocument/2006/relationships/hyperlink" Target="https://www.intesasanpaoloassicurazioni.com/bin/openAssetInline?path=/content/dam/isp_assicurazioni/products/regolamento-e-nota-informativa/012/BAPPens_Supplemento_NI_07_2026.pdf" TargetMode="External" Id="rId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6" sqref="B26"/>
    </sheetView>
  </sheetViews>
  <sheetFormatPr baseColWidth="8" defaultRowHeight="15"/>
  <cols>
    <col width="68.5703125" bestFit="1" customWidth="1" min="1" max="1"/>
    <col width="165.140625" bestFit="1" customWidth="1" min="2" max="2"/>
    <col width="27.28515625" customWidth="1" min="3" max="3"/>
    <col width="16.7109375" customWidth="1" min="4" max="15"/>
    <col width="36.42578125" customWidth="1" min="16" max="16"/>
    <col width="76.42578125" customWidth="1" min="17" max="17"/>
  </cols>
  <sheetData>
    <row r="1" ht="30" customFormat="1" customHeight="1" s="6" thickBot="1">
      <c r="A1" s="59" t="n"/>
    </row>
    <row r="2" ht="62.1" customFormat="1" customHeight="1" s="1">
      <c r="A2" s="2" t="inlineStr">
        <is>
          <t>Denominazione</t>
        </is>
      </c>
      <c r="B2" s="3" t="inlineStr">
        <is>
          <t>Pagina informativa (URL)</t>
        </is>
      </c>
      <c r="C2" s="3" t="inlineStr">
        <is>
          <t>Società (Ciao Elsa)</t>
        </is>
      </c>
      <c r="D2" s="3" t="inlineStr">
        <is>
          <t>Spese di adesione (€)</t>
        </is>
      </c>
      <c r="E2" s="3" t="inlineStr">
        <is>
          <t>Spese annue fisse (€)</t>
        </is>
      </c>
      <c r="F2" s="3" t="inlineStr">
        <is>
          <t>Costo % sul versato</t>
        </is>
      </c>
      <c r="G2" s="3" t="inlineStr">
        <is>
          <t>N. linee (dichiarate Ciao Elsa)</t>
        </is>
      </c>
      <c r="H2" s="3" t="inlineStr">
        <is>
          <t>N. comparti nel foglio Comparti</t>
        </is>
      </c>
      <c r="I2" s="3" t="inlineStr">
        <is>
          <t>Comm. gestione min</t>
        </is>
      </c>
      <c r="J2" s="3" t="inlineStr">
        <is>
          <t>Comm. gestione max</t>
        </is>
      </c>
      <c r="K2" s="3" t="inlineStr">
        <is>
          <t>Max % azioni tra i comparti</t>
        </is>
      </c>
      <c r="L2" s="3" t="inlineStr">
        <is>
          <t>Miglior rendimento 10 anni</t>
        </is>
      </c>
      <c r="M2" s="3" t="inlineStr">
        <is>
          <t>Linee sostenibili (ESG)</t>
        </is>
      </c>
      <c r="N2" s="3" t="inlineStr">
        <is>
          <t>Life cycle</t>
        </is>
      </c>
      <c r="O2" s="3" t="inlineStr">
        <is>
          <t>Sottoscrizione online</t>
        </is>
      </c>
      <c r="P2" s="3" t="inlineStr">
        <is>
          <t>Scheda Ciao Elsa (fonte)</t>
        </is>
      </c>
      <c r="Q2" s="4" t="inlineStr">
        <is>
          <t>Note</t>
        </is>
      </c>
    </row>
    <row r="3" ht="25.5" customFormat="1" customHeight="1" s="5">
      <c r="A3" s="13" t="inlineStr">
        <is>
          <t>ALLIANZ PREVIDENZA FONDO PENSIONE APERTO A CONTRIBUZIONE DEFINITA</t>
        </is>
      </c>
      <c r="B3" s="7" t="inlineStr">
        <is>
          <t>https://www.allianz.it/le-soluzioni-per-te/previdenza/fondi-pensione/allianz-previdenza.html</t>
        </is>
      </c>
      <c r="C3" s="8" t="inlineStr">
        <is>
          <t>Allianz</t>
        </is>
      </c>
      <c r="D3" s="60" t="n">
        <v>25</v>
      </c>
      <c r="E3" s="60" t="n">
        <v>0</v>
      </c>
      <c r="F3" s="61" t="n">
        <v>0</v>
      </c>
      <c r="G3" s="18" t="n">
        <v>5</v>
      </c>
      <c r="H3" s="31">
        <f>COUNTIF(Comparti!$A:$A,$A3)</f>
        <v>5</v>
      </c>
      <c r="I3" s="19">
        <f>IF($H3=0,"",_xlfn.MINIFS(Comparti!$H:$H,Comparti!$A:$A,$A3))</f>
        <v>0.01</v>
      </c>
      <c r="J3" s="19">
        <f>IF($H3=0,"",_xlfn.MAXIFS(Comparti!$H:$H,Comparti!$A:$A,$A3))</f>
        <v>0.0145</v>
      </c>
      <c r="K3" s="19">
        <f>IF($H3=0,"",_xlfn.MAXIFS(Comparti!$D:$D,Comparti!$A:$A,$A3))</f>
        <v>0.9</v>
      </c>
      <c r="L3" s="19">
        <f>IF(COUNTIFS(Comparti!$A:$A,$A3,Comparti!$G:$G,10)=0,"",_xlfn.MAXIFS(Comparti!$F:$F,Comparti!$A:$A,$A3,Comparti!$G:$G,10))</f>
        <v>0.0654</v>
      </c>
      <c r="M3" s="18" t="inlineStr">
        <is>
          <t>No</t>
        </is>
      </c>
      <c r="N3" s="18" t="inlineStr">
        <is>
          <t>Sì</t>
        </is>
      </c>
      <c r="O3" s="18" t="inlineStr">
        <is>
          <t>Sì (Ciao Elsa)</t>
        </is>
      </c>
      <c r="P3" s="7" t="inlineStr">
        <is>
          <t>Scheda Ciao Elsa</t>
        </is>
      </c>
      <c r="Q3" s="28" t="inlineStr">
        <is>
          <t>Il testo di Ciao Elsa cita 6 linee, la scheda ne riporta 5. Life cycle con costo di 30 €/anno (non incluso nelle spese annue).</t>
        </is>
      </c>
    </row>
    <row r="4" customFormat="1" s="5">
      <c r="A4" s="14" t="inlineStr">
        <is>
          <t>PREVIDENZA PER TE - FONDO PENSIONE APERTO</t>
        </is>
      </c>
      <c r="B4" s="9" t="inlineStr">
        <is>
          <t>https://www.axa-mps.it/fondo-pensione-aperto</t>
        </is>
      </c>
      <c r="C4" s="10" t="inlineStr">
        <is>
          <t>AXA MPS</t>
        </is>
      </c>
      <c r="D4" s="62" t="n">
        <v>25</v>
      </c>
      <c r="E4" s="62" t="n">
        <v>25</v>
      </c>
      <c r="F4" s="63" t="n">
        <v>0</v>
      </c>
      <c r="G4" s="22" t="n">
        <v>5</v>
      </c>
      <c r="H4" s="32">
        <f>COUNTIF(Comparti!$A:$A,$A4)</f>
        <v>5</v>
      </c>
      <c r="I4" s="23">
        <f>IF($H4=0,"",_xlfn.MINIFS(Comparti!$H:$H,Comparti!$A:$A,$A4))</f>
        <v>0.011</v>
      </c>
      <c r="J4" s="23">
        <f>IF($H4=0,"",_xlfn.MAXIFS(Comparti!$H:$H,Comparti!$A:$A,$A4))</f>
        <v>0.016</v>
      </c>
      <c r="K4" s="23">
        <f>IF($H4=0,"",_xlfn.MAXIFS(Comparti!$D:$D,Comparti!$A:$A,$A4))</f>
        <v>0.82</v>
      </c>
      <c r="L4" s="23">
        <f>IF(COUNTIFS(Comparti!$A:$A,$A4,Comparti!$G:$G,10)=0,"",_xlfn.MAXIFS(Comparti!$F:$F,Comparti!$A:$A,$A4,Comparti!$G:$G,10))</f>
        <v>0.0518</v>
      </c>
      <c r="M4" s="22" t="inlineStr">
        <is>
          <t>No</t>
        </is>
      </c>
      <c r="N4" s="22" t="inlineStr">
        <is>
          <t>No</t>
        </is>
      </c>
      <c r="O4" s="22" t="inlineStr">
        <is>
          <t>No (lista d'attesa)</t>
        </is>
      </c>
      <c r="P4" s="9" t="inlineStr">
        <is>
          <t>Scheda Ciao Elsa</t>
        </is>
      </c>
      <c r="Q4" s="29" t="inlineStr">
        <is>
          <t>Non sottoscrivibile tramite Ciao Elsa.</t>
        </is>
      </c>
    </row>
    <row r="5" ht="25.5" customFormat="1" customHeight="1" s="5">
      <c r="A5" s="13" t="inlineStr">
        <is>
          <t>ALMEGLIO - FONDO PENSIONE APERTO ALLEANZA A CONTRIBUZIONE DEFINITA</t>
        </is>
      </c>
      <c r="B5" s="7" t="inlineStr">
        <is>
          <t>https://www.alleanza.it/previdenza-complementare/almeglio/</t>
        </is>
      </c>
      <c r="C5" s="8" t="n"/>
      <c r="D5" s="60" t="n"/>
      <c r="E5" s="60" t="n"/>
      <c r="F5" s="61" t="n"/>
      <c r="G5" s="18" t="n"/>
      <c r="H5" s="31">
        <f>COUNTIF(Comparti!$A:$A,$A5)</f>
        <v>0</v>
      </c>
      <c r="I5" s="19" t="str">
        <f>IF($H5=0,"",_xlfn.MINIFS(Comparti!$H:$H,Comparti!$A:$A,$A5))</f>
        <v/>
      </c>
      <c r="J5" s="19" t="str">
        <f>IF($H5=0,"",_xlfn.MAXIFS(Comparti!$H:$H,Comparti!$A:$A,$A5))</f>
        <v/>
      </c>
      <c r="K5" s="19" t="str">
        <f>IF($H5=0,"",_xlfn.MAXIFS(Comparti!$D:$D,Comparti!$A:$A,$A5))</f>
        <v/>
      </c>
      <c r="L5" s="19" t="str">
        <f>IF(COUNTIFS(Comparti!$A:$A,$A5,Comparti!$G:$G,10)=0,"",_xlfn.MAXIFS(Comparti!$F:$F,Comparti!$A:$A,$A5,Comparti!$G:$G,10))</f>
        <v/>
      </c>
      <c r="M5" s="18" t="n"/>
      <c r="N5" s="18" t="n"/>
      <c r="O5" s="18" t="n"/>
      <c r="P5" s="8" t="n"/>
      <c r="Q5" s="28" t="inlineStr">
        <is>
          <t>Nessuna scheda Ciao Elsa fornita. Chiuso a nuove adesioni; dal 1/1/2027 confluisce in Generali Global (fonte generali.it).</t>
        </is>
      </c>
    </row>
    <row r="6" ht="25.5" customFormat="1" customHeight="1" s="5">
      <c r="A6" s="14" t="inlineStr">
        <is>
          <t>FONDO PENSIONE FIDEURAM FONDO PENSIONE APERTO</t>
        </is>
      </c>
      <c r="B6" s="9" t="inlineStr">
        <is>
          <t>https://www.fideuram.it/prodotti-e-soluzioni-personalizzate/assicurazione-e-previdenza/previdenza/fondo-pensione-fideuram/</t>
        </is>
      </c>
      <c r="C6" s="10" t="inlineStr">
        <is>
          <t>Fideuram Vita</t>
        </is>
      </c>
      <c r="D6" s="62" t="n">
        <v>50</v>
      </c>
      <c r="E6" s="62" t="n">
        <v>20</v>
      </c>
      <c r="F6" s="63" t="n">
        <v>0</v>
      </c>
      <c r="G6" s="22" t="n">
        <v>6</v>
      </c>
      <c r="H6" s="32">
        <f>COUNTIF(Comparti!$A:$A,$A6)</f>
        <v>6</v>
      </c>
      <c r="I6" s="23">
        <f>IF($H6=0,"",_xlfn.MINIFS(Comparti!$H:$H,Comparti!$A:$A,$A6))</f>
        <v>0.01</v>
      </c>
      <c r="J6" s="23">
        <f>IF($H6=0,"",_xlfn.MAXIFS(Comparti!$H:$H,Comparti!$A:$A,$A6))</f>
        <v>0.02</v>
      </c>
      <c r="K6" s="23">
        <f>IF($H6=0,"",_xlfn.MAXIFS(Comparti!$D:$D,Comparti!$A:$A,$A6))</f>
        <v>0.9474</v>
      </c>
      <c r="L6" s="23">
        <f>IF(COUNTIFS(Comparti!$A:$A,$A6,Comparti!$G:$G,10)=0,"",_xlfn.MAXIFS(Comparti!$F:$F,Comparti!$A:$A,$A6,Comparti!$G:$G,10))</f>
        <v>0.0501</v>
      </c>
      <c r="M6" s="22" t="inlineStr">
        <is>
          <t>Sì</t>
        </is>
      </c>
      <c r="N6" s="22" t="inlineStr">
        <is>
          <t>No</t>
        </is>
      </c>
      <c r="O6" s="22" t="inlineStr">
        <is>
          <t>No</t>
        </is>
      </c>
      <c r="P6" s="9" t="inlineStr">
        <is>
          <t>Scheda Ciao Elsa</t>
        </is>
      </c>
      <c r="Q6" s="29" t="inlineStr">
        <is>
          <t>Sottoscrivibile solo tramite Private Banker Fideuram. Commissioni tra le più alte (fino al 2%). Link fornito due volte nell'elenco.</t>
        </is>
      </c>
    </row>
    <row r="7" ht="25.5" customFormat="1" customHeight="1" s="5">
      <c r="A7" s="13" t="inlineStr">
        <is>
          <t>GENERALI GLOBAL - FONDO PENSIONE APERTO A CONTRIBUZIONE DEFINITA</t>
        </is>
      </c>
      <c r="B7" s="7" t="inlineStr">
        <is>
          <t>https://www.generali.it/previdenza/generali-global-fondo-pensione-aperto/</t>
        </is>
      </c>
      <c r="C7" s="8" t="inlineStr">
        <is>
          <t>Generali Italia</t>
        </is>
      </c>
      <c r="D7" s="60" t="n">
        <v>60</v>
      </c>
      <c r="E7" s="60" t="n">
        <v>20</v>
      </c>
      <c r="F7" s="61" t="n">
        <v>0</v>
      </c>
      <c r="G7" s="18" t="n">
        <v>5</v>
      </c>
      <c r="H7" s="31">
        <f>COUNTIF(Comparti!$A:$A,$A7)</f>
        <v>5</v>
      </c>
      <c r="I7" s="19">
        <f>IF($H7=0,"",_xlfn.MINIFS(Comparti!$H:$H,Comparti!$A:$A,$A7))</f>
        <v>0.0085</v>
      </c>
      <c r="J7" s="19">
        <f>IF($H7=0,"",_xlfn.MAXIFS(Comparti!$H:$H,Comparti!$A:$A,$A7))</f>
        <v>0.015</v>
      </c>
      <c r="K7" s="19">
        <f>IF($H7=0,"",_xlfn.MAXIFS(Comparti!$D:$D,Comparti!$A:$A,$A7))</f>
        <v>0.93</v>
      </c>
      <c r="L7" s="19">
        <f>IF(COUNTIFS(Comparti!$A:$A,$A7,Comparti!$G:$G,10)=0,"",_xlfn.MAXIFS(Comparti!$F:$F,Comparti!$A:$A,$A7,Comparti!$G:$G,10))</f>
        <v>0.0559</v>
      </c>
      <c r="M7" s="18" t="inlineStr">
        <is>
          <t>No</t>
        </is>
      </c>
      <c r="N7" s="18" t="inlineStr">
        <is>
          <t>No</t>
        </is>
      </c>
      <c r="O7" s="18" t="inlineStr">
        <is>
          <t>Sì (Ciao Elsa)</t>
        </is>
      </c>
      <c r="P7" s="7" t="inlineStr">
        <is>
          <t>Scheda Ciao Elsa</t>
        </is>
      </c>
      <c r="Q7" s="28" t="inlineStr">
        <is>
          <t>La scheda Ciao Elsa segnala life cycle = No, ma il suo testo cita due percorsi (Dinamico, Prudente) senza costi: incoerenza da verificare. Costi ridotti per adesioni collettive.</t>
        </is>
      </c>
    </row>
    <row r="8" customFormat="1" s="5">
      <c r="A8" s="14" t="inlineStr">
        <is>
          <t>PREVIDSYSTEM - FONDO PENSIONE APERTO</t>
        </is>
      </c>
      <c r="B8" s="9" t="inlineStr">
        <is>
          <t>https://www.intesasanpaoloassicurazioni.com/it/prodotti-e-rendimenti/pensione-integrativa/previdsystem.html</t>
        </is>
      </c>
      <c r="C8" s="10" t="n"/>
      <c r="D8" s="62" t="n"/>
      <c r="E8" s="62" t="n"/>
      <c r="F8" s="63" t="n"/>
      <c r="G8" s="22" t="n"/>
      <c r="H8" s="32">
        <f>COUNTIF(Comparti!$A:$A,$A8)</f>
        <v>0</v>
      </c>
      <c r="I8" s="23" t="str">
        <f>IF($H8=0,"",_xlfn.MINIFS(Comparti!$H:$H,Comparti!$A:$A,$A8))</f>
        <v/>
      </c>
      <c r="J8" s="23" t="str">
        <f>IF($H8=0,"",_xlfn.MAXIFS(Comparti!$H:$H,Comparti!$A:$A,$A8))</f>
        <v/>
      </c>
      <c r="K8" s="23" t="str">
        <f>IF($H8=0,"",_xlfn.MAXIFS(Comparti!$D:$D,Comparti!$A:$A,$A8))</f>
        <v/>
      </c>
      <c r="L8" s="23" t="str">
        <f>IF(COUNTIFS(Comparti!$A:$A,$A8,Comparti!$G:$G,10)=0,"",_xlfn.MAXIFS(Comparti!$F:$F,Comparti!$A:$A,$A8,Comparti!$G:$G,10))</f>
        <v/>
      </c>
      <c r="M8" s="22" t="n"/>
      <c r="N8" s="22" t="n"/>
      <c r="O8" s="22" t="n"/>
      <c r="P8" s="10" t="n"/>
      <c r="Q8" s="29" t="inlineStr">
        <is>
          <t>Nessuna scheda Ciao Elsa fornita.</t>
        </is>
      </c>
    </row>
    <row r="9" ht="25.5" customFormat="1" customHeight="1" s="5">
      <c r="A9" s="13" t="inlineStr">
        <is>
          <t>FONDO PENSIONE APERTO TESEO</t>
        </is>
      </c>
      <c r="B9" s="7" t="inlineStr">
        <is>
          <t>https://www.realemutua.it/risparmio/previdenza/fondo-pensione-teseo</t>
        </is>
      </c>
      <c r="C9" s="8" t="inlineStr">
        <is>
          <t>Reale Mutua</t>
        </is>
      </c>
      <c r="D9" s="60" t="n">
        <v>50</v>
      </c>
      <c r="E9" s="60" t="n">
        <v>0</v>
      </c>
      <c r="F9" s="61" t="n">
        <v>0</v>
      </c>
      <c r="G9" s="18" t="n">
        <v>4</v>
      </c>
      <c r="H9" s="31">
        <f>COUNTIF(Comparti!$A:$A,$A9)</f>
        <v>4</v>
      </c>
      <c r="I9" s="19">
        <f>IF($H9=0,"",_xlfn.MINIFS(Comparti!$H:$H,Comparti!$A:$A,$A9))</f>
        <v>0.006500000000000001</v>
      </c>
      <c r="J9" s="19">
        <f>IF($H9=0,"",_xlfn.MAXIFS(Comparti!$H:$H,Comparti!$A:$A,$A9))</f>
        <v>0.015</v>
      </c>
      <c r="K9" s="19">
        <f>IF($H9=0,"",_xlfn.MAXIFS(Comparti!$D:$D,Comparti!$A:$A,$A9))</f>
        <v>0.89</v>
      </c>
      <c r="L9" s="19">
        <f>IF(COUNTIFS(Comparti!$A:$A,$A9,Comparti!$G:$G,10)=0,"",_xlfn.MAXIFS(Comparti!$F:$F,Comparti!$A:$A,$A9,Comparti!$G:$G,10))</f>
        <v>0.0498</v>
      </c>
      <c r="M9" s="18" t="inlineStr">
        <is>
          <t>Sì</t>
        </is>
      </c>
      <c r="N9" s="18" t="inlineStr">
        <is>
          <t>No</t>
        </is>
      </c>
      <c r="O9" s="18" t="inlineStr">
        <is>
          <t>No</t>
        </is>
      </c>
      <c r="P9" s="7" t="inlineStr">
        <is>
          <t>Scheda Ciao Elsa</t>
        </is>
      </c>
      <c r="Q9" s="28" t="inlineStr">
        <is>
          <t>La scheda Ciao Elsa segnala life cycle = No, ma il suo testo cita due profili life cycle (Equilibrio, Evoluzione): incoerenza da verificare. Criteri SRI dal 2006; nessuna spesa annua.</t>
        </is>
      </c>
    </row>
    <row r="10" ht="38.25" customFormat="1" customHeight="1" s="5">
      <c r="A10" s="14" t="inlineStr">
        <is>
          <t>DESTINAZIONE FUTURO - FONDO PENSIONE APERTO BY CREDEMVITA</t>
        </is>
      </c>
      <c r="B10" s="9" t="inlineStr">
        <is>
          <t>https://www.credem.it/content/credem/it/privati-e-famiglie/assicurazione-e-previdenza/previdenza/fondo-pensione.html</t>
        </is>
      </c>
      <c r="C10" s="10" t="inlineStr">
        <is>
          <t>Credemvita</t>
        </is>
      </c>
      <c r="D10" s="62" t="n">
        <v>50</v>
      </c>
      <c r="E10" s="62" t="n">
        <v>15</v>
      </c>
      <c r="F10" s="63" t="n">
        <v>0</v>
      </c>
      <c r="G10" s="22" t="n">
        <v>4</v>
      </c>
      <c r="H10" s="32">
        <f>COUNTIF(Comparti!$A:$A,$A10)</f>
        <v>4</v>
      </c>
      <c r="I10" s="23">
        <f>IF($H10=0,"",_xlfn.MINIFS(Comparti!$H:$H,Comparti!$A:$A,$A10))</f>
        <v>0.01</v>
      </c>
      <c r="J10" s="23">
        <f>IF($H10=0,"",_xlfn.MAXIFS(Comparti!$H:$H,Comparti!$A:$A,$A10))</f>
        <v>0.015</v>
      </c>
      <c r="K10" s="23">
        <f>IF($H10=0,"",_xlfn.MAXIFS(Comparti!$D:$D,Comparti!$A:$A,$A10))</f>
        <v>0.9135</v>
      </c>
      <c r="L10" s="23">
        <f>IF(COUNTIFS(Comparti!$A:$A,$A10,Comparti!$G:$G,10)=0,"",_xlfn.MAXIFS(Comparti!$F:$F,Comparti!$A:$A,$A10,Comparti!$G:$G,10))</f>
        <v>0.0579</v>
      </c>
      <c r="M10" s="22" t="inlineStr">
        <is>
          <t>No</t>
        </is>
      </c>
      <c r="N10" s="22" t="inlineStr">
        <is>
          <t>Sì</t>
        </is>
      </c>
      <c r="O10" s="22" t="inlineStr">
        <is>
          <t>Sì (Ciao Elsa)</t>
        </is>
      </c>
      <c r="P10" s="9" t="inlineStr">
        <is>
          <t>Scheda Ciao Elsa</t>
        </is>
      </c>
      <c r="Q10" s="29" t="inlineStr">
        <is>
          <t>Ciao Elsa usa il vecchio nome 'Credemprevidenza' (rinominato Destinazione Futuro dal 1/12/2025, comparti rinominati). Ciao Elsa cita la linea obbligazionaria come prima per rendimento COVIP: non è chiaro a quale comparto si riferisca.</t>
        </is>
      </c>
    </row>
    <row r="11" customFormat="1" s="5">
      <c r="A11" s="13" t="inlineStr">
        <is>
          <t>FONDO PENSIONE APERTO VITTORIA FORMULA LAVORO</t>
        </is>
      </c>
      <c r="B11" s="7" t="inlineStr">
        <is>
          <t>https://www.vittoriaassicurazioni.com/performances/fondo-pensione/</t>
        </is>
      </c>
      <c r="C11" s="8" t="inlineStr">
        <is>
          <t>Vittoria Assicurazioni</t>
        </is>
      </c>
      <c r="D11" s="60" t="n">
        <v>50</v>
      </c>
      <c r="E11" s="60" t="n">
        <v>24</v>
      </c>
      <c r="F11" s="61" t="n">
        <v>0</v>
      </c>
      <c r="G11" s="18" t="n">
        <v>4</v>
      </c>
      <c r="H11" s="31">
        <f>COUNTIF(Comparti!$A:$A,$A11)</f>
        <v>4</v>
      </c>
      <c r="I11" s="19">
        <f>IF($H11=0,"",_xlfn.MINIFS(Comparti!$H:$H,Comparti!$A:$A,$A11))</f>
        <v>0.01</v>
      </c>
      <c r="J11" s="19">
        <f>IF($H11=0,"",_xlfn.MAXIFS(Comparti!$H:$H,Comparti!$A:$A,$A11))</f>
        <v>0.0168</v>
      </c>
      <c r="K11" s="19">
        <f>IF($H11=0,"",_xlfn.MAXIFS(Comparti!$D:$D,Comparti!$A:$A,$A11))</f>
        <v>0.8101</v>
      </c>
      <c r="L11" s="19">
        <f>IF(COUNTIFS(Comparti!$A:$A,$A11,Comparti!$G:$G,10)=0,"",_xlfn.MAXIFS(Comparti!$F:$F,Comparti!$A:$A,$A11,Comparti!$G:$G,10))</f>
        <v>0.0387</v>
      </c>
      <c r="M11" s="18" t="inlineStr">
        <is>
          <t>No</t>
        </is>
      </c>
      <c r="N11" s="18" t="inlineStr">
        <is>
          <t>No</t>
        </is>
      </c>
      <c r="O11" s="18" t="inlineStr">
        <is>
          <t>No</t>
        </is>
      </c>
      <c r="P11" s="7" t="inlineStr">
        <is>
          <t>Scheda Ciao Elsa</t>
        </is>
      </c>
      <c r="Q11" s="28" t="n"/>
    </row>
    <row r="12" customFormat="1" s="5">
      <c r="A12" s="14" t="inlineStr">
        <is>
          <t>ARCA PREVIDENZA FONDO PENSIONE APERTO</t>
        </is>
      </c>
      <c r="B12" s="9" t="inlineStr">
        <is>
          <t>https://www.arcafondi.it/s/previdenza</t>
        </is>
      </c>
      <c r="C12" s="10" t="n"/>
      <c r="D12" s="62" t="n"/>
      <c r="E12" s="62" t="n"/>
      <c r="F12" s="63" t="n"/>
      <c r="G12" s="22" t="n"/>
      <c r="H12" s="32">
        <f>COUNTIF(Comparti!$A:$A,$A12)</f>
        <v>0</v>
      </c>
      <c r="I12" s="23" t="str">
        <f>IF($H12=0,"",_xlfn.MINIFS(Comparti!$H:$H,Comparti!$A:$A,$A12))</f>
        <v/>
      </c>
      <c r="J12" s="23" t="str">
        <f>IF($H12=0,"",_xlfn.MAXIFS(Comparti!$H:$H,Comparti!$A:$A,$A12))</f>
        <v/>
      </c>
      <c r="K12" s="23" t="str">
        <f>IF($H12=0,"",_xlfn.MAXIFS(Comparti!$D:$D,Comparti!$A:$A,$A12))</f>
        <v/>
      </c>
      <c r="L12" s="23" t="str">
        <f>IF(COUNTIFS(Comparti!$A:$A,$A12,Comparti!$G:$G,10)=0,"",_xlfn.MAXIFS(Comparti!$F:$F,Comparti!$A:$A,$A12,Comparti!$G:$G,10))</f>
        <v/>
      </c>
      <c r="M12" s="22" t="n"/>
      <c r="N12" s="22" t="n"/>
      <c r="O12" s="22" t="n"/>
      <c r="P12" s="10" t="n"/>
      <c r="Q12" s="29" t="inlineStr">
        <is>
          <t>Nessuna scheda Ciao Elsa fornita.</t>
        </is>
      </c>
    </row>
    <row r="13" customFormat="1" s="5">
      <c r="A13" s="13" t="inlineStr">
        <is>
          <t>FONDO PENSIONE APERTO UNIPOL PREVIDENZA FPA</t>
        </is>
      </c>
      <c r="B13" s="7" t="inlineStr">
        <is>
          <t>https://www.unipol.it/aziende/risparmio-previdenza/fondo-pensione-aperto</t>
        </is>
      </c>
      <c r="C13" s="8" t="n"/>
      <c r="D13" s="60" t="n"/>
      <c r="E13" s="60" t="n"/>
      <c r="F13" s="61" t="n"/>
      <c r="G13" s="18" t="n"/>
      <c r="H13" s="31">
        <f>COUNTIF(Comparti!$A:$A,$A13)</f>
        <v>0</v>
      </c>
      <c r="I13" s="19" t="str">
        <f>IF($H13=0,"",_xlfn.MINIFS(Comparti!$H:$H,Comparti!$A:$A,$A13))</f>
        <v/>
      </c>
      <c r="J13" s="19" t="str">
        <f>IF($H13=0,"",_xlfn.MAXIFS(Comparti!$H:$H,Comparti!$A:$A,$A13))</f>
        <v/>
      </c>
      <c r="K13" s="19" t="str">
        <f>IF($H13=0,"",_xlfn.MAXIFS(Comparti!$D:$D,Comparti!$A:$A,$A13))</f>
        <v/>
      </c>
      <c r="L13" s="19" t="str">
        <f>IF(COUNTIFS(Comparti!$A:$A,$A13,Comparti!$G:$G,10)=0,"",_xlfn.MAXIFS(Comparti!$F:$F,Comparti!$A:$A,$A13,Comparti!$G:$G,10))</f>
        <v/>
      </c>
      <c r="M13" s="18" t="n"/>
      <c r="N13" s="18" t="n"/>
      <c r="O13" s="18" t="n"/>
      <c r="P13" s="8" t="n"/>
      <c r="Q13" s="28" t="inlineStr">
        <is>
          <t>Nessuna scheda Ciao Elsa fornita.</t>
        </is>
      </c>
    </row>
    <row r="14" customFormat="1" s="5">
      <c r="A14" s="14" t="inlineStr">
        <is>
          <t>FONDO PENSIONE APERTO VERA VITA</t>
        </is>
      </c>
      <c r="B14" s="9" t="inlineStr">
        <is>
          <t>https://www.bancobpmvita.it/prodotti/previdenza/fondo-pensione-aperto-vera-vita/</t>
        </is>
      </c>
      <c r="C14" s="10" t="n"/>
      <c r="D14" s="62" t="n"/>
      <c r="E14" s="62" t="n"/>
      <c r="F14" s="63" t="n"/>
      <c r="G14" s="22" t="n"/>
      <c r="H14" s="32">
        <f>COUNTIF(Comparti!$A:$A,$A14)</f>
        <v>0</v>
      </c>
      <c r="I14" s="23" t="str">
        <f>IF($H14=0,"",_xlfn.MINIFS(Comparti!$H:$H,Comparti!$A:$A,$A14))</f>
        <v/>
      </c>
      <c r="J14" s="23" t="str">
        <f>IF($H14=0,"",_xlfn.MAXIFS(Comparti!$H:$H,Comparti!$A:$A,$A14))</f>
        <v/>
      </c>
      <c r="K14" s="23" t="str">
        <f>IF($H14=0,"",_xlfn.MAXIFS(Comparti!$D:$D,Comparti!$A:$A,$A14))</f>
        <v/>
      </c>
      <c r="L14" s="23" t="str">
        <f>IF(COUNTIFS(Comparti!$A:$A,$A14,Comparti!$G:$G,10)=0,"",_xlfn.MAXIFS(Comparti!$F:$F,Comparti!$A:$A,$A14,Comparti!$G:$G,10))</f>
        <v/>
      </c>
      <c r="M14" s="22" t="n"/>
      <c r="N14" s="22" t="n"/>
      <c r="O14" s="22" t="n"/>
      <c r="P14" s="10" t="n"/>
      <c r="Q14" s="29" t="inlineStr">
        <is>
          <t>Nessuna scheda Ciao Elsa fornita.</t>
        </is>
      </c>
    </row>
    <row r="15" customFormat="1" s="5">
      <c r="A15" s="13" t="inlineStr">
        <is>
          <t>UNICREDIT - FONDO PENSIONE APERTO A CONTRIBUZIONE DEFINITA</t>
        </is>
      </c>
      <c r="B15" s="7" t="inlineStr">
        <is>
          <t>https://www.unicreditallianzvita.it/le-soluzioni-per-te/archivio-prodotti/previdenza.html</t>
        </is>
      </c>
      <c r="C15" s="8" t="n"/>
      <c r="D15" s="60" t="n"/>
      <c r="E15" s="60" t="n"/>
      <c r="F15" s="61" t="n"/>
      <c r="G15" s="18" t="n"/>
      <c r="H15" s="31">
        <f>COUNTIF(Comparti!$A:$A,$A15)</f>
        <v>0</v>
      </c>
      <c r="I15" s="19" t="str">
        <f>IF($H15=0,"",_xlfn.MINIFS(Comparti!$H:$H,Comparti!$A:$A,$A15))</f>
        <v/>
      </c>
      <c r="J15" s="19" t="str">
        <f>IF($H15=0,"",_xlfn.MAXIFS(Comparti!$H:$H,Comparti!$A:$A,$A15))</f>
        <v/>
      </c>
      <c r="K15" s="19" t="str">
        <f>IF($H15=0,"",_xlfn.MAXIFS(Comparti!$D:$D,Comparti!$A:$A,$A15))</f>
        <v/>
      </c>
      <c r="L15" s="19" t="str">
        <f>IF(COUNTIFS(Comparti!$A:$A,$A15,Comparti!$G:$G,10)=0,"",_xlfn.MAXIFS(Comparti!$F:$F,Comparti!$A:$A,$A15,Comparti!$G:$G,10))</f>
        <v/>
      </c>
      <c r="M15" s="18" t="n"/>
      <c r="N15" s="18" t="n"/>
      <c r="O15" s="18" t="n"/>
      <c r="P15" s="8" t="n"/>
      <c r="Q15" s="28" t="inlineStr">
        <is>
          <t>Nessuna scheda Ciao Elsa fornita.</t>
        </is>
      </c>
    </row>
    <row r="16" customFormat="1" s="5">
      <c r="A16" s="14" t="inlineStr">
        <is>
          <t>FONDO PENSIONE APERTO PREVIGEST FUND MEDIOLANUM</t>
        </is>
      </c>
      <c r="B16" s="9" t="inlineStr">
        <is>
          <t>https://www.mediolanumgestionefondi.it/fondi-pensione</t>
        </is>
      </c>
      <c r="C16" s="10" t="inlineStr">
        <is>
          <t>Mediolanum Gestione Fondi</t>
        </is>
      </c>
      <c r="D16" s="62" t="n">
        <v>0</v>
      </c>
      <c r="E16" s="62" t="n">
        <v>20</v>
      </c>
      <c r="F16" s="63" t="n">
        <v>0</v>
      </c>
      <c r="G16" s="22" t="n">
        <v>3</v>
      </c>
      <c r="H16" s="32">
        <f>COUNTIF(Comparti!$A:$A,$A16)</f>
        <v>3</v>
      </c>
      <c r="I16" s="23">
        <f>IF($H16=0,"",_xlfn.MINIFS(Comparti!$H:$H,Comparti!$A:$A,$A16))</f>
        <v>0.015</v>
      </c>
      <c r="J16" s="23">
        <f>IF($H16=0,"",_xlfn.MAXIFS(Comparti!$H:$H,Comparti!$A:$A,$A16))</f>
        <v>0.02</v>
      </c>
      <c r="K16" s="23">
        <f>IF($H16=0,"",_xlfn.MAXIFS(Comparti!$D:$D,Comparti!$A:$A,$A16))</f>
        <v>0.9</v>
      </c>
      <c r="L16" s="23">
        <f>IF(COUNTIFS(Comparti!$A:$A,$A16,Comparti!$G:$G,10)=0,"",_xlfn.MAXIFS(Comparti!$F:$F,Comparti!$A:$A,$A16,Comparti!$G:$G,10))</f>
        <v>0.0447</v>
      </c>
      <c r="M16" s="22" t="inlineStr">
        <is>
          <t>No</t>
        </is>
      </c>
      <c r="N16" s="22" t="inlineStr">
        <is>
          <t>No</t>
        </is>
      </c>
      <c r="O16" s="22" t="inlineStr">
        <is>
          <t>No</t>
        </is>
      </c>
      <c r="P16" s="9" t="inlineStr">
        <is>
          <t>Scheda Ciao Elsa</t>
        </is>
      </c>
      <c r="Q16" s="29" t="inlineStr">
        <is>
          <t>Commissioni 1,50–2,00%, tra le più alte del campione.</t>
        </is>
      </c>
    </row>
    <row r="17" customFormat="1" s="5">
      <c r="A17" s="13" t="inlineStr">
        <is>
          <t>FONDO PENSIONE APERTO ZURICH CONTRIBUTION</t>
        </is>
      </c>
      <c r="B17" s="7" t="inlineStr">
        <is>
          <t>https://www.zurich.it/persone/risparmio-e-investimento/previdenza/zurich-contribution</t>
        </is>
      </c>
      <c r="C17" s="8" t="inlineStr">
        <is>
          <t>Zurich Investments Life</t>
        </is>
      </c>
      <c r="D17" s="60" t="n">
        <v>51.65</v>
      </c>
      <c r="E17" s="60" t="n">
        <v>0</v>
      </c>
      <c r="F17" s="61" t="n">
        <v>0</v>
      </c>
      <c r="G17" s="18" t="n">
        <v>3</v>
      </c>
      <c r="H17" s="31">
        <f>COUNTIF(Comparti!$A:$A,$A17)</f>
        <v>3</v>
      </c>
      <c r="I17" s="19">
        <f>IF($H17=0,"",_xlfn.MINIFS(Comparti!$H:$H,Comparti!$A:$A,$A17))</f>
        <v>0.009000000000000001</v>
      </c>
      <c r="J17" s="19">
        <f>IF($H17=0,"",_xlfn.MAXIFS(Comparti!$H:$H,Comparti!$A:$A,$A17))</f>
        <v>0.0105</v>
      </c>
      <c r="K17" s="19">
        <f>IF($H17=0,"",_xlfn.MAXIFS(Comparti!$D:$D,Comparti!$A:$A,$A17))</f>
        <v>0.6919</v>
      </c>
      <c r="L17" s="19">
        <f>IF(COUNTIFS(Comparti!$A:$A,$A17,Comparti!$G:$G,10)=0,"",_xlfn.MAXIFS(Comparti!$F:$F,Comparti!$A:$A,$A17,Comparti!$G:$G,10))</f>
        <v>0.0398</v>
      </c>
      <c r="M17" s="18" t="inlineStr">
        <is>
          <t>No</t>
        </is>
      </c>
      <c r="N17" s="18" t="inlineStr">
        <is>
          <t>No</t>
        </is>
      </c>
      <c r="O17" s="18" t="inlineStr">
        <is>
          <t>No</t>
        </is>
      </c>
      <c r="P17" s="7" t="inlineStr">
        <is>
          <t>Scheda Ciao Elsa</t>
        </is>
      </c>
      <c r="Q17" s="28" t="inlineStr">
        <is>
          <t>Rendimenti a 10 anni negativi sui due comparti obbligazionari.</t>
        </is>
      </c>
    </row>
    <row r="18" customFormat="1" s="5">
      <c r="A18" s="14" t="inlineStr">
        <is>
          <t>ZED OMNIFUND - FONDO PENSIONE APERTO</t>
        </is>
      </c>
      <c r="B18" s="9" t="inlineStr">
        <is>
          <t>https://www.zurich.it/gruppo-zurich/zurich-italia/partner/banks-and-ifa/zed-omnifund</t>
        </is>
      </c>
      <c r="C18" s="10" t="inlineStr">
        <is>
          <t>Zurich Investments Life</t>
        </is>
      </c>
      <c r="D18" s="62" t="n">
        <v>51.65</v>
      </c>
      <c r="E18" s="62" t="n">
        <v>30</v>
      </c>
      <c r="F18" s="63" t="n">
        <v>0</v>
      </c>
      <c r="G18" s="22" t="n">
        <v>5</v>
      </c>
      <c r="H18" s="32">
        <f>COUNTIF(Comparti!$A:$A,$A18)</f>
        <v>5</v>
      </c>
      <c r="I18" s="23">
        <f>IF($H18=0,"",_xlfn.MINIFS(Comparti!$H:$H,Comparti!$A:$A,$A18))</f>
        <v>0.009000000000000001</v>
      </c>
      <c r="J18" s="23">
        <f>IF($H18=0,"",_xlfn.MAXIFS(Comparti!$H:$H,Comparti!$A:$A,$A18))</f>
        <v>0.0222</v>
      </c>
      <c r="K18" s="23">
        <f>IF($H18=0,"",_xlfn.MAXIFS(Comparti!$D:$D,Comparti!$A:$A,$A18))</f>
        <v>0.9237</v>
      </c>
      <c r="L18" s="23">
        <f>IF(COUNTIFS(Comparti!$A:$A,$A18,Comparti!$G:$G,10)=0,"",_xlfn.MAXIFS(Comparti!$F:$F,Comparti!$A:$A,$A18,Comparti!$G:$G,10))</f>
        <v>0.05019999999999999</v>
      </c>
      <c r="M18" s="22" t="inlineStr">
        <is>
          <t>No</t>
        </is>
      </c>
      <c r="N18" s="22" t="inlineStr">
        <is>
          <t>No</t>
        </is>
      </c>
      <c r="O18" s="22" t="inlineStr">
        <is>
          <t>No</t>
        </is>
      </c>
      <c r="P18" s="9" t="inlineStr">
        <is>
          <t>Scheda Ciao Elsa</t>
        </is>
      </c>
      <c r="Q18" s="29" t="inlineStr">
        <is>
          <t>Commissioni fino al 2,22% (tra le più alte del campione). Link fornito due volte nell'elenco.</t>
        </is>
      </c>
    </row>
    <row r="19" customFormat="1" s="5">
      <c r="A19" s="13" t="inlineStr">
        <is>
          <t>PLURIFONDS IL FONDO PENSIONE APERTO DI ITAS VITA</t>
        </is>
      </c>
      <c r="B19" s="7" t="inlineStr">
        <is>
          <t>https://www.gruppoitas.it/it/prodotti/fondo-pensione-plurifonds</t>
        </is>
      </c>
      <c r="C19" s="8" t="inlineStr">
        <is>
          <t>ITAS Vita</t>
        </is>
      </c>
      <c r="D19" s="60" t="n">
        <v>25.82</v>
      </c>
      <c r="E19" s="60" t="n">
        <v>20.49</v>
      </c>
      <c r="F19" s="61" t="n">
        <v>0</v>
      </c>
      <c r="G19" s="18" t="n">
        <v>5</v>
      </c>
      <c r="H19" s="31">
        <f>COUNTIF(Comparti!$A:$A,$A19)</f>
        <v>5</v>
      </c>
      <c r="I19" s="19">
        <f>IF($H19=0,"",_xlfn.MINIFS(Comparti!$H:$H,Comparti!$A:$A,$A19))</f>
        <v>0.008</v>
      </c>
      <c r="J19" s="19">
        <f>IF($H19=0,"",_xlfn.MAXIFS(Comparti!$H:$H,Comparti!$A:$A,$A19))</f>
        <v>0.015</v>
      </c>
      <c r="K19" s="19">
        <f>IF($H19=0,"",_xlfn.MAXIFS(Comparti!$D:$D,Comparti!$A:$A,$A19))</f>
        <v>0.68</v>
      </c>
      <c r="L19" s="19">
        <f>IF(COUNTIFS(Comparti!$A:$A,$A19,Comparti!$G:$G,10)=0,"",_xlfn.MAXIFS(Comparti!$F:$F,Comparti!$A:$A,$A19,Comparti!$G:$G,10))</f>
        <v>0.0425</v>
      </c>
      <c r="M19" s="18" t="inlineStr">
        <is>
          <t>Sì</t>
        </is>
      </c>
      <c r="N19" s="18" t="inlineStr">
        <is>
          <t>No</t>
        </is>
      </c>
      <c r="O19" s="18" t="inlineStr">
        <is>
          <t>No</t>
        </is>
      </c>
      <c r="P19" s="7" t="inlineStr">
        <is>
          <t>Scheda Ciao Elsa</t>
        </is>
      </c>
      <c r="Q19" s="28" t="inlineStr">
        <is>
          <t>Comparto Aequitas etico.</t>
        </is>
      </c>
    </row>
    <row r="20" customFormat="1" s="5">
      <c r="A20" s="14" t="inlineStr">
        <is>
          <t>EURORISPARMIO PREVIDENZA COMPLEMENTARE FONDO PENSIONE APERTO</t>
        </is>
      </c>
      <c r="B20" s="9" t="inlineStr">
        <is>
          <t>https://www.sella.it/banca-on-line/privati/consulenza-e-investimenti/prodotti-di-investimento/fondi-pensione</t>
        </is>
      </c>
      <c r="C20" s="10" t="inlineStr">
        <is>
          <t>Sella SGR</t>
        </is>
      </c>
      <c r="D20" s="62" t="n">
        <v>0</v>
      </c>
      <c r="E20" s="62" t="n">
        <v>20</v>
      </c>
      <c r="F20" s="63" t="n">
        <v>0</v>
      </c>
      <c r="G20" s="22" t="n">
        <v>5</v>
      </c>
      <c r="H20" s="32">
        <f>COUNTIF(Comparti!$A:$A,$A20)</f>
        <v>5</v>
      </c>
      <c r="I20" s="23">
        <f>IF($H20=0,"",_xlfn.MINIFS(Comparti!$H:$H,Comparti!$A:$A,$A20))</f>
        <v>0.006</v>
      </c>
      <c r="J20" s="23">
        <f>IF($H20=0,"",_xlfn.MAXIFS(Comparti!$H:$H,Comparti!$A:$A,$A20))</f>
        <v>0.014</v>
      </c>
      <c r="K20" s="23">
        <f>IF($H20=0,"",_xlfn.MAXIFS(Comparti!$D:$D,Comparti!$A:$A,$A20))</f>
        <v>0.7635</v>
      </c>
      <c r="L20" s="23">
        <f>IF(COUNTIFS(Comparti!$A:$A,$A20,Comparti!$G:$G,10)=0,"",_xlfn.MAXIFS(Comparti!$F:$F,Comparti!$A:$A,$A20,Comparti!$G:$G,10))</f>
        <v>0.0603</v>
      </c>
      <c r="M20" s="22" t="inlineStr">
        <is>
          <t>Sì</t>
        </is>
      </c>
      <c r="N20" s="22" t="inlineStr">
        <is>
          <t>Sì</t>
        </is>
      </c>
      <c r="O20" s="22" t="inlineStr">
        <is>
          <t>No (lista d'attesa)</t>
        </is>
      </c>
      <c r="P20" s="9" t="inlineStr">
        <is>
          <t>Scheda Ciao Elsa</t>
        </is>
      </c>
      <c r="Q20" s="29" t="inlineStr">
        <is>
          <t>Ciao Elsa: adesione online con SPID e 3 piani life cycle. Link fornito due volte nell'elenco.</t>
        </is>
      </c>
    </row>
    <row r="21" ht="38.25" customFormat="1" customHeight="1" s="5">
      <c r="A21" s="13" t="inlineStr">
        <is>
          <t>FONDO PENSIONE APERTO AUREO</t>
        </is>
      </c>
      <c r="B21" s="7" t="inlineStr">
        <is>
          <t>https://www.bccrisparmioeprevidenza.it/it-IT/pagine/prodotti/fondo-pensione.aspx</t>
        </is>
      </c>
      <c r="C21" s="8" t="inlineStr">
        <is>
          <t>BCC Risparmio&amp;Previdenza</t>
        </is>
      </c>
      <c r="D21" s="60" t="n">
        <v>2</v>
      </c>
      <c r="E21" s="60" t="n">
        <v>12</v>
      </c>
      <c r="F21" s="61" t="n">
        <v>0</v>
      </c>
      <c r="G21" s="18" t="n">
        <v>5</v>
      </c>
      <c r="H21" s="31">
        <f>COUNTIF(Comparti!$A:$A,$A21)</f>
        <v>5</v>
      </c>
      <c r="I21" s="19">
        <f>IF($H21=0,"",_xlfn.MINIFS(Comparti!$H:$H,Comparti!$A:$A,$A21))</f>
        <v>0.005</v>
      </c>
      <c r="J21" s="19">
        <f>IF($H21=0,"",_xlfn.MAXIFS(Comparti!$H:$H,Comparti!$A:$A,$A21))</f>
        <v>0.015</v>
      </c>
      <c r="K21" s="19">
        <f>IF($H21=0,"",_xlfn.MAXIFS(Comparti!$D:$D,Comparti!$A:$A,$A21))</f>
        <v>1</v>
      </c>
      <c r="L21" s="19">
        <f>IF(COUNTIFS(Comparti!$A:$A,$A21,Comparti!$G:$G,10)=0,"",_xlfn.MAXIFS(Comparti!$F:$F,Comparti!$A:$A,$A21,Comparti!$G:$G,10))</f>
        <v>0.0617</v>
      </c>
      <c r="M21" s="18" t="inlineStr">
        <is>
          <t>Sì</t>
        </is>
      </c>
      <c r="N21" s="18" t="inlineStr">
        <is>
          <t>No</t>
        </is>
      </c>
      <c r="O21" s="18" t="inlineStr">
        <is>
          <t>No</t>
        </is>
      </c>
      <c r="P21" s="7" t="inlineStr">
        <is>
          <t>Scheda Ciao Elsa</t>
        </is>
      </c>
      <c r="Q21" s="28" t="inlineStr">
        <is>
          <t>Due comparti con 100% azioni dichiarate (Garantito, Prudente): dati probabilmente errati, vedi foglio Comparti. Spese 2 €/12 € secondo Ciao Elsa; altre fonti viste in precedenza riportavano 10 €/30 €: verificare sulla Scheda costi ufficiale.</t>
        </is>
      </c>
    </row>
    <row r="22" customFormat="1" s="5">
      <c r="A22" s="14" t="inlineStr">
        <is>
          <t>FONDO PENSIONE APERTO CREDIT AGRICOLE VITA</t>
        </is>
      </c>
      <c r="B22" s="9" t="inlineStr">
        <is>
          <t>https://www.credit-agricole.it/privati/investimenti/previdenza-e-fondi-pensione/fondo-pensione-aperto</t>
        </is>
      </c>
      <c r="C22" s="10" t="inlineStr">
        <is>
          <t>Crédit Agricole Vita</t>
        </is>
      </c>
      <c r="D22" s="62" t="n">
        <v>0</v>
      </c>
      <c r="E22" s="62" t="n">
        <v>20</v>
      </c>
      <c r="F22" s="63" t="n">
        <v>0</v>
      </c>
      <c r="G22" s="22" t="n">
        <v>3</v>
      </c>
      <c r="H22" s="32">
        <f>COUNTIF(Comparti!$A:$A,$A22)</f>
        <v>3</v>
      </c>
      <c r="I22" s="23">
        <f>IF($H22=0,"",_xlfn.MINIFS(Comparti!$H:$H,Comparti!$A:$A,$A22))</f>
        <v>0.0115</v>
      </c>
      <c r="J22" s="23">
        <f>IF($H22=0,"",_xlfn.MAXIFS(Comparti!$H:$H,Comparti!$A:$A,$A22))</f>
        <v>0.014</v>
      </c>
      <c r="K22" s="23">
        <f>IF($H22=0,"",_xlfn.MAXIFS(Comparti!$D:$D,Comparti!$A:$A,$A22))</f>
        <v>0.7664</v>
      </c>
      <c r="L22" s="23">
        <f>IF(COUNTIFS(Comparti!$A:$A,$A22,Comparti!$G:$G,10)=0,"",_xlfn.MAXIFS(Comparti!$F:$F,Comparti!$A:$A,$A22,Comparti!$G:$G,10))</f>
        <v>0.05690000000000001</v>
      </c>
      <c r="M22" s="22" t="inlineStr">
        <is>
          <t>No</t>
        </is>
      </c>
      <c r="N22" s="22" t="inlineStr">
        <is>
          <t>No</t>
        </is>
      </c>
      <c r="O22" s="22" t="inlineStr">
        <is>
          <t>No (lista d'attesa)</t>
        </is>
      </c>
      <c r="P22" s="9" t="inlineStr">
        <is>
          <t>Scheda Ciao Elsa</t>
        </is>
      </c>
      <c r="Q22" s="29" t="inlineStr">
        <is>
          <t>Solo 3 linee; linea garantita classificata BIL.</t>
        </is>
      </c>
    </row>
    <row r="23" ht="38.25" customFormat="1" customHeight="1" s="5">
      <c r="A23" s="13" t="inlineStr">
        <is>
          <t>ARTI &amp; MESTIERI - FONDO PENSIONE APERTO</t>
        </is>
      </c>
      <c r="B23" s="7" t="inlineStr">
        <is>
          <t>https://www.animasgr.it/IT/investitore-privato/prodotti/Pagine/fondopensione.aspx</t>
        </is>
      </c>
      <c r="C23" s="8" t="inlineStr">
        <is>
          <t>Anima SGR</t>
        </is>
      </c>
      <c r="D23" s="60" t="n">
        <v>30</v>
      </c>
      <c r="E23" s="60" t="n">
        <v>12</v>
      </c>
      <c r="F23" s="61" t="n">
        <v>0</v>
      </c>
      <c r="G23" s="18" t="n">
        <v>6</v>
      </c>
      <c r="H23" s="31">
        <f>COUNTIF(Comparti!$A:$A,$A23)</f>
        <v>6</v>
      </c>
      <c r="I23" s="19">
        <f>IF($H23=0,"",_xlfn.MINIFS(Comparti!$H:$H,Comparti!$A:$A,$A23))</f>
        <v>0.006</v>
      </c>
      <c r="J23" s="19">
        <f>IF($H23=0,"",_xlfn.MAXIFS(Comparti!$H:$H,Comparti!$A:$A,$A23))</f>
        <v>0.016</v>
      </c>
      <c r="K23" s="19">
        <f>IF($H23=0,"",_xlfn.MAXIFS(Comparti!$D:$D,Comparti!$A:$A,$A23))</f>
        <v>1</v>
      </c>
      <c r="L23" s="19">
        <f>IF(COUNTIFS(Comparti!$A:$A,$A23,Comparti!$G:$G,10)=0,"",_xlfn.MAXIFS(Comparti!$F:$F,Comparti!$A:$A,$A23,Comparti!$G:$G,10))</f>
        <v>0.06059999999999999</v>
      </c>
      <c r="M23" s="18" t="inlineStr">
        <is>
          <t>Sì</t>
        </is>
      </c>
      <c r="N23" s="18" t="inlineStr">
        <is>
          <t>No</t>
        </is>
      </c>
      <c r="O23" s="18" t="inlineStr">
        <is>
          <t>No (lista d'attesa)</t>
        </is>
      </c>
      <c r="P23" s="7" t="inlineStr">
        <is>
          <t>Scheda Ciao Elsa</t>
        </is>
      </c>
      <c r="Q23" s="28" t="inlineStr">
        <is>
          <t>Garanzia 1+ con 100% azioni dichiarate: dato da verificare. Ciao Elsa mostra 6 comparti; la Scheda costi ufficiale per le adesioni collettive elenca anche 'Sviluppo 15+' (7 comparti): verificare.</t>
        </is>
      </c>
    </row>
    <row r="24" ht="25.5" customFormat="1" customHeight="1" s="5">
      <c r="A24" s="14" t="inlineStr">
        <is>
          <t>SECONDAPENSIONE FONDO PENSIONE APERTO</t>
        </is>
      </c>
      <c r="B24" s="9" t="inlineStr">
        <is>
          <t>https://www.secondapensione.it</t>
        </is>
      </c>
      <c r="C24" s="10" t="inlineStr">
        <is>
          <t>Amundi SGR</t>
        </is>
      </c>
      <c r="D24" s="62" t="n">
        <v>0</v>
      </c>
      <c r="E24" s="62" t="n">
        <v>15</v>
      </c>
      <c r="F24" s="63" t="n">
        <v>0</v>
      </c>
      <c r="G24" s="22" t="n">
        <v>5</v>
      </c>
      <c r="H24" s="32">
        <f>COUNTIF(Comparti!$A:$A,$A24)</f>
        <v>5</v>
      </c>
      <c r="I24" s="23">
        <f>IF($H24=0,"",_xlfn.MINIFS(Comparti!$H:$H,Comparti!$A:$A,$A24))</f>
        <v>0.006</v>
      </c>
      <c r="J24" s="23">
        <f>IF($H24=0,"",_xlfn.MAXIFS(Comparti!$H:$H,Comparti!$A:$A,$A24))</f>
        <v>0.008</v>
      </c>
      <c r="K24" s="23">
        <f>IF($H24=0,"",_xlfn.MAXIFS(Comparti!$D:$D,Comparti!$A:$A,$A24))</f>
        <v>0.81</v>
      </c>
      <c r="L24" s="23">
        <f>IF(COUNTIFS(Comparti!$A:$A,$A24,Comparti!$G:$G,10)=0,"",_xlfn.MAXIFS(Comparti!$F:$F,Comparti!$A:$A,$A24,Comparti!$G:$G,10))</f>
        <v>0.0536</v>
      </c>
      <c r="M24" s="22" t="inlineStr">
        <is>
          <t>Sì</t>
        </is>
      </c>
      <c r="N24" s="22" t="inlineStr">
        <is>
          <t>Sì</t>
        </is>
      </c>
      <c r="O24" s="22" t="inlineStr">
        <is>
          <t>Sì (Ciao Elsa)</t>
        </is>
      </c>
      <c r="P24" s="9" t="inlineStr">
        <is>
          <t>Scheda Ciao Elsa</t>
        </is>
      </c>
      <c r="Q24" s="29" t="inlineStr">
        <is>
          <t>Commissioni tra le più basse del campione (0,60–0,80%). Tutti i comparti ESG; life cycle incluso.</t>
        </is>
      </c>
    </row>
    <row r="25" customFormat="1" s="5">
      <c r="A25" s="13" t="inlineStr">
        <is>
          <t>FONDO PENSIONE APERTO GIUSTINIANO</t>
        </is>
      </c>
      <c r="B25" s="7" t="inlineStr">
        <is>
          <t>https://www.intesasanpaoloassicurazioni.com/it/prodotti-e-rendimenti/pensione-integrativa/giustiniano.html</t>
        </is>
      </c>
      <c r="C25" s="8" t="n"/>
      <c r="D25" s="60" t="n"/>
      <c r="E25" s="60" t="n"/>
      <c r="F25" s="61" t="n"/>
      <c r="G25" s="18" t="n"/>
      <c r="H25" s="31">
        <f>COUNTIF(Comparti!$A:$A,$A25)</f>
        <v>0</v>
      </c>
      <c r="I25" s="19" t="str">
        <f>IF($H25=0,"",_xlfn.MINIFS(Comparti!$H:$H,Comparti!$A:$A,$A25))</f>
        <v/>
      </c>
      <c r="J25" s="19" t="str">
        <f>IF($H25=0,"",_xlfn.MAXIFS(Comparti!$H:$H,Comparti!$A:$A,$A25))</f>
        <v/>
      </c>
      <c r="K25" s="19" t="str">
        <f>IF($H25=0,"",_xlfn.MAXIFS(Comparti!$D:$D,Comparti!$A:$A,$A25))</f>
        <v/>
      </c>
      <c r="L25" s="19" t="str">
        <f>IF(COUNTIFS(Comparti!$A:$A,$A25,Comparti!$G:$G,10)=0,"",_xlfn.MAXIFS(Comparti!$F:$F,Comparti!$A:$A,$A25,Comparti!$G:$G,10))</f>
        <v/>
      </c>
      <c r="M25" s="18" t="n"/>
      <c r="N25" s="18" t="n"/>
      <c r="O25" s="18" t="n"/>
      <c r="P25" s="8" t="n"/>
      <c r="Q25" s="28" t="inlineStr">
        <is>
          <t>Nessuna scheda Ciao Elsa fornita.</t>
        </is>
      </c>
    </row>
    <row r="26" ht="25.5" customFormat="1" customHeight="1" s="5">
      <c r="A26" s="14" t="inlineStr">
        <is>
          <t>PROGRAMMA OPEN FONDO PENSIONE APERTO</t>
        </is>
      </c>
      <c r="B26" s="9" t="inlineStr">
        <is>
          <t>https://www.groupama.it/previdenza-integrativa/programma-open/</t>
        </is>
      </c>
      <c r="C26" s="10" t="inlineStr">
        <is>
          <t>Groupama</t>
        </is>
      </c>
      <c r="D26" s="62" t="n">
        <v>50</v>
      </c>
      <c r="E26" s="62" t="n">
        <v>30</v>
      </c>
      <c r="F26" s="63" t="n">
        <v>0</v>
      </c>
      <c r="G26" s="22" t="n">
        <v>3</v>
      </c>
      <c r="H26" s="32">
        <f>COUNTIF(Comparti!$A:$A,$A26)</f>
        <v>3</v>
      </c>
      <c r="I26" s="23">
        <f>IF($H26=0,"",_xlfn.MINIFS(Comparti!$H:$H,Comparti!$A:$A,$A26))</f>
        <v>0.013</v>
      </c>
      <c r="J26" s="23">
        <f>IF($H26=0,"",_xlfn.MAXIFS(Comparti!$H:$H,Comparti!$A:$A,$A26))</f>
        <v>0.015</v>
      </c>
      <c r="K26" s="23">
        <f>IF($H26=0,"",_xlfn.MAXIFS(Comparti!$D:$D,Comparti!$A:$A,$A26))</f>
        <v>0.56</v>
      </c>
      <c r="L26" s="23">
        <f>IF(COUNTIFS(Comparti!$A:$A,$A26,Comparti!$G:$G,10)=0,"",_xlfn.MAXIFS(Comparti!$F:$F,Comparti!$A:$A,$A26,Comparti!$G:$G,10))</f>
        <v>0.0392</v>
      </c>
      <c r="M26" s="22" t="inlineStr">
        <is>
          <t>Sì</t>
        </is>
      </c>
      <c r="N26" s="22" t="inlineStr">
        <is>
          <t>No</t>
        </is>
      </c>
      <c r="O26" s="22" t="inlineStr">
        <is>
          <t>No</t>
        </is>
      </c>
      <c r="P26" s="9" t="inlineStr">
        <is>
          <t>Scheda Ciao Elsa</t>
        </is>
      </c>
      <c r="Q26" s="29" t="inlineStr">
        <is>
          <t>Le % azioni dei comparti Bilanciato e Prevalentemente azionario sembrano invertite. Il comparto obbligazionario non ha rendimento né commissione.</t>
        </is>
      </c>
    </row>
    <row r="27" customFormat="1" s="5">
      <c r="A27" s="13" t="inlineStr">
        <is>
          <t>FONDO PENSIONE APERTO IL MIO DOMANI</t>
        </is>
      </c>
      <c r="B27" s="7" t="inlineStr">
        <is>
          <t>https://www.intesasanpaolo.com/it/persone-e-famiglie/prodotti/piani-previdenza-complementare-pensione-integrativa/fondo-pensione-aperto-il-mio-domani-adesioni-individuali.html</t>
        </is>
      </c>
      <c r="C27" s="8" t="n"/>
      <c r="D27" s="60" t="n"/>
      <c r="E27" s="60" t="n"/>
      <c r="F27" s="61" t="n"/>
      <c r="G27" s="18" t="n"/>
      <c r="H27" s="31">
        <f>COUNTIF(Comparti!$A:$A,$A27)</f>
        <v>0</v>
      </c>
      <c r="I27" s="19" t="str">
        <f>IF($H27=0,"",_xlfn.MINIFS(Comparti!$H:$H,Comparti!$A:$A,$A27))</f>
        <v/>
      </c>
      <c r="J27" s="19" t="str">
        <f>IF($H27=0,"",_xlfn.MAXIFS(Comparti!$H:$H,Comparti!$A:$A,$A27))</f>
        <v/>
      </c>
      <c r="K27" s="19" t="str">
        <f>IF($H27=0,"",_xlfn.MAXIFS(Comparti!$D:$D,Comparti!$A:$A,$A27))</f>
        <v/>
      </c>
      <c r="L27" s="19" t="str">
        <f>IF(COUNTIFS(Comparti!$A:$A,$A27,Comparti!$G:$G,10)=0,"",_xlfn.MAXIFS(Comparti!$F:$F,Comparti!$A:$A,$A27,Comparti!$G:$G,10))</f>
        <v/>
      </c>
      <c r="M27" s="18" t="n"/>
      <c r="N27" s="18" t="n"/>
      <c r="O27" s="18" t="n"/>
      <c r="P27" s="8" t="n"/>
      <c r="Q27" s="28" t="inlineStr">
        <is>
          <t>Nessuna scheda Ciao Elsa fornita.</t>
        </is>
      </c>
    </row>
    <row r="28" customFormat="1" s="5">
      <c r="A28" s="14" t="inlineStr">
        <is>
          <t>AZIMUT PREVIDENZA - FONDO PENSIONE APERTO</t>
        </is>
      </c>
      <c r="B28" s="9" t="inlineStr">
        <is>
          <t>https://www.azimutwm.it/web/azimut.it/prodotti/previdenza</t>
        </is>
      </c>
      <c r="C28" s="10" t="inlineStr">
        <is>
          <t>Azimut Capital Management SGR</t>
        </is>
      </c>
      <c r="D28" s="62" t="n">
        <v>10</v>
      </c>
      <c r="E28" s="62" t="n">
        <v>30</v>
      </c>
      <c r="F28" s="63" t="n">
        <v>0</v>
      </c>
      <c r="G28" s="22" t="n">
        <v>3</v>
      </c>
      <c r="H28" s="32">
        <f>COUNTIF(Comparti!$A:$A,$A28)</f>
        <v>3</v>
      </c>
      <c r="I28" s="23">
        <f>IF($H28=0,"",_xlfn.MINIFS(Comparti!$H:$H,Comparti!$A:$A,$A28))</f>
        <v>0.01</v>
      </c>
      <c r="J28" s="23">
        <f>IF($H28=0,"",_xlfn.MAXIFS(Comparti!$H:$H,Comparti!$A:$A,$A28))</f>
        <v>0.018</v>
      </c>
      <c r="K28" s="23">
        <f>IF($H28=0,"",_xlfn.MAXIFS(Comparti!$D:$D,Comparti!$A:$A,$A28))</f>
        <v>0.86</v>
      </c>
      <c r="L28" s="23">
        <f>IF(COUNTIFS(Comparti!$A:$A,$A28,Comparti!$G:$G,10)=0,"",_xlfn.MAXIFS(Comparti!$F:$F,Comparti!$A:$A,$A28,Comparti!$G:$G,10))</f>
        <v>0.0338</v>
      </c>
      <c r="M28" s="22" t="inlineStr">
        <is>
          <t>No</t>
        </is>
      </c>
      <c r="N28" s="22" t="inlineStr">
        <is>
          <t>No</t>
        </is>
      </c>
      <c r="O28" s="22" t="inlineStr">
        <is>
          <t>No (lista d'attesa)</t>
        </is>
      </c>
      <c r="P28" s="9" t="inlineStr">
        <is>
          <t>Scheda Ciao Elsa</t>
        </is>
      </c>
      <c r="Q28" s="29" t="inlineStr">
        <is>
          <t>Solo 3 comparti.</t>
        </is>
      </c>
    </row>
    <row r="29" customFormat="1" s="5">
      <c r="A29" s="13" t="inlineStr">
        <is>
          <t>AZIONE DI PREVIDENZA - FONDO PENSIONE APERTO</t>
        </is>
      </c>
      <c r="B29" s="7" t="inlineStr">
        <is>
          <t>https://www.hdiassicurazioni.it/it/privati/previdenza/fondo-pensione-aperto</t>
        </is>
      </c>
      <c r="C29" s="8" t="inlineStr">
        <is>
          <t>HDI Assicurazioni</t>
        </is>
      </c>
      <c r="D29" s="60" t="n">
        <v>20</v>
      </c>
      <c r="E29" s="60" t="n">
        <v>20</v>
      </c>
      <c r="F29" s="61" t="n">
        <v>0</v>
      </c>
      <c r="G29" s="18" t="n">
        <v>4</v>
      </c>
      <c r="H29" s="31">
        <f>COUNTIF(Comparti!$A:$A,$A29)</f>
        <v>4</v>
      </c>
      <c r="I29" s="19">
        <f>IF($H29=0,"",_xlfn.MINIFS(Comparti!$H:$H,Comparti!$A:$A,$A29))</f>
        <v>0.006999999999999999</v>
      </c>
      <c r="J29" s="19">
        <f>IF($H29=0,"",_xlfn.MAXIFS(Comparti!$H:$H,Comparti!$A:$A,$A29))</f>
        <v>0.018</v>
      </c>
      <c r="K29" s="19">
        <f>IF($H29=0,"",_xlfn.MAXIFS(Comparti!$D:$D,Comparti!$A:$A,$A29))</f>
        <v>0.86</v>
      </c>
      <c r="L29" s="19">
        <f>IF(COUNTIFS(Comparti!$A:$A,$A29,Comparti!$G:$G,10)=0,"",_xlfn.MAXIFS(Comparti!$F:$F,Comparti!$A:$A,$A29,Comparti!$G:$G,10))</f>
        <v>0.0529</v>
      </c>
      <c r="M29" s="18" t="inlineStr">
        <is>
          <t>Sì</t>
        </is>
      </c>
      <c r="N29" s="18" t="inlineStr">
        <is>
          <t>No</t>
        </is>
      </c>
      <c r="O29" s="18" t="inlineStr">
        <is>
          <t>No (lista d'attesa)</t>
        </is>
      </c>
      <c r="P29" s="7" t="inlineStr">
        <is>
          <t>Scheda Ciao Elsa</t>
        </is>
      </c>
      <c r="Q29" s="28" t="inlineStr">
        <is>
          <t>Nessuna sintesi descrittiva su Ciao Elsa.</t>
        </is>
      </c>
    </row>
    <row r="30" customFormat="1" s="5">
      <c r="A30" s="14" t="inlineStr">
        <is>
          <t>FONDO PENSIONE APERTO CNP</t>
        </is>
      </c>
      <c r="B30" s="9" t="inlineStr">
        <is>
          <t>https://gruppocnp.it/prodotti/fondo-pensione-aperto/fondo-pensione-aperto-cnp</t>
        </is>
      </c>
      <c r="C30" s="10" t="inlineStr">
        <is>
          <t>CNP Vita Assicura</t>
        </is>
      </c>
      <c r="D30" s="62" t="n">
        <v>0</v>
      </c>
      <c r="E30" s="62" t="n">
        <v>25</v>
      </c>
      <c r="F30" s="63" t="n">
        <v>0</v>
      </c>
      <c r="G30" s="22" t="n">
        <v>5</v>
      </c>
      <c r="H30" s="32">
        <f>COUNTIF(Comparti!$A:$A,$A30)</f>
        <v>5</v>
      </c>
      <c r="I30" s="23">
        <f>IF($H30=0,"",_xlfn.MINIFS(Comparti!$H:$H,Comparti!$A:$A,$A30))</f>
        <v>0.009000000000000001</v>
      </c>
      <c r="J30" s="23">
        <f>IF($H30=0,"",_xlfn.MAXIFS(Comparti!$H:$H,Comparti!$A:$A,$A30))</f>
        <v>0.013</v>
      </c>
      <c r="K30" s="23">
        <f>IF($H30=0,"",_xlfn.MAXIFS(Comparti!$D:$D,Comparti!$A:$A,$A30))</f>
        <v>0.95</v>
      </c>
      <c r="L30" s="23">
        <f>IF(COUNTIFS(Comparti!$A:$A,$A30,Comparti!$G:$G,10)=0,"",_xlfn.MAXIFS(Comparti!$F:$F,Comparti!$A:$A,$A30,Comparti!$G:$G,10))</f>
        <v>0.0395</v>
      </c>
      <c r="M30" s="22" t="inlineStr">
        <is>
          <t>No</t>
        </is>
      </c>
      <c r="N30" s="22" t="inlineStr">
        <is>
          <t>No</t>
        </is>
      </c>
      <c r="O30" s="22" t="inlineStr">
        <is>
          <t>No</t>
        </is>
      </c>
      <c r="P30" s="9" t="inlineStr">
        <is>
          <t>Scheda Ciao Elsa</t>
        </is>
      </c>
      <c r="Q30" s="29" t="inlineStr">
        <is>
          <t>Comparto 'Garanzia restituzione capitale' con 95% azioni: dato da verificare.</t>
        </is>
      </c>
    </row>
    <row r="31" ht="38.25" customFormat="1" customHeight="1" s="5">
      <c r="A31" s="13" t="inlineStr">
        <is>
          <t>INSIEME - FONDO PENSIONE APERTO A CONTRIBUZIONE DEFINITA</t>
        </is>
      </c>
      <c r="B31" s="7" t="inlineStr">
        <is>
          <t>https://www.allianz.it/le-soluzioni-per-te/previdenza/fondi-pensione/insieme.html</t>
        </is>
      </c>
      <c r="C31" s="8" t="inlineStr">
        <is>
          <t>Allianz</t>
        </is>
      </c>
      <c r="D31" s="60" t="n">
        <v>100</v>
      </c>
      <c r="E31" s="60" t="n">
        <v>0</v>
      </c>
      <c r="F31" s="61" t="n">
        <v>0</v>
      </c>
      <c r="G31" s="18" t="n">
        <v>6</v>
      </c>
      <c r="H31" s="31">
        <f>COUNTIF(Comparti!$A:$A,$A31)</f>
        <v>6</v>
      </c>
      <c r="I31" s="19">
        <f>IF($H31=0,"",_xlfn.MINIFS(Comparti!$H:$H,Comparti!$A:$A,$A31))</f>
        <v>0.005500000000000001</v>
      </c>
      <c r="J31" s="19">
        <f>IF($H31=0,"",_xlfn.MAXIFS(Comparti!$H:$H,Comparti!$A:$A,$A31))</f>
        <v>0.008</v>
      </c>
      <c r="K31" s="19">
        <f>IF($H31=0,"",_xlfn.MAXIFS(Comparti!$D:$D,Comparti!$A:$A,$A31))</f>
        <v>0.94</v>
      </c>
      <c r="L31" s="19">
        <f>IF(COUNTIFS(Comparti!$A:$A,$A31,Comparti!$G:$G,10)=0,"",_xlfn.MAXIFS(Comparti!$F:$F,Comparti!$A:$A,$A31,Comparti!$G:$G,10))</f>
        <v>0.0748</v>
      </c>
      <c r="M31" s="18" t="inlineStr">
        <is>
          <t>No</t>
        </is>
      </c>
      <c r="N31" s="18" t="inlineStr">
        <is>
          <t>Sì</t>
        </is>
      </c>
      <c r="O31" s="18" t="inlineStr">
        <is>
          <t>Sì (Ciao Elsa)</t>
        </is>
      </c>
      <c r="P31" s="7" t="inlineStr">
        <is>
          <t>Scheda Ciao Elsa</t>
        </is>
      </c>
      <c r="Q31" s="28" t="inlineStr">
        <is>
          <t>Ciao Elsa indica 6 linee, ma il suo testo parla di 'sette'. Life cycle con costo di 30 €/anno (non incluso nelle spese annue). Nato per adesioni collettive di grandi aziende. Coperture assicurative opzionali (premio 50/100/150 €). Link fornito due volte nell'elenco.</t>
        </is>
      </c>
    </row>
    <row r="32" ht="25.5" customFormat="1" customHeight="1" s="5">
      <c r="A32" s="14" t="inlineStr">
        <is>
          <t>FONDO PENSIONE APERTO BIM VITA</t>
        </is>
      </c>
      <c r="B32" s="9" t="inlineStr">
        <is>
          <t>https://www.unipol.it/risparmio-previdenza/pensione-integrativa-fondi-pensione/fondo-pensione-aperto-bv</t>
        </is>
      </c>
      <c r="C32" s="10" t="inlineStr">
        <is>
          <t>BIM Vita</t>
        </is>
      </c>
      <c r="D32" s="62" t="n">
        <v>0</v>
      </c>
      <c r="E32" s="62" t="n">
        <v>0</v>
      </c>
      <c r="F32" s="63" t="n">
        <v>0</v>
      </c>
      <c r="G32" s="22" t="n">
        <v>4</v>
      </c>
      <c r="H32" s="32">
        <f>COUNTIF(Comparti!$A:$A,$A32)</f>
        <v>4</v>
      </c>
      <c r="I32" s="23">
        <f>IF($H32=0,"",_xlfn.MINIFS(Comparti!$H:$H,Comparti!$A:$A,$A32))</f>
        <v>0.01</v>
      </c>
      <c r="J32" s="23">
        <f>IF($H32=0,"",_xlfn.MAXIFS(Comparti!$H:$H,Comparti!$A:$A,$A32))</f>
        <v>0.018</v>
      </c>
      <c r="K32" s="23">
        <f>IF($H32=0,"",_xlfn.MAXIFS(Comparti!$D:$D,Comparti!$A:$A,$A32))</f>
        <v>0.8323999999999999</v>
      </c>
      <c r="L32" s="23">
        <f>IF(COUNTIFS(Comparti!$A:$A,$A32,Comparti!$G:$G,10)=0,"",_xlfn.MAXIFS(Comparti!$F:$F,Comparti!$A:$A,$A32,Comparti!$G:$G,10))</f>
        <v>0.05019999999999999</v>
      </c>
      <c r="M32" s="22" t="inlineStr">
        <is>
          <t>No</t>
        </is>
      </c>
      <c r="N32" s="22" t="inlineStr">
        <is>
          <t>No</t>
        </is>
      </c>
      <c r="O32" s="22" t="inlineStr">
        <is>
          <t>No (lista d'attesa)</t>
        </is>
      </c>
      <c r="P32" s="9" t="inlineStr">
        <is>
          <t>Scheda Ciao Elsa</t>
        </is>
      </c>
      <c r="Q32" s="29" t="inlineStr">
        <is>
          <t>Spese annue 0 € secondo Ciao Elsa. Il fondo ora è commercializzato come 'Unipol Fondo Pensione Aperto BV': verificare se i costi sono cambiati.</t>
        </is>
      </c>
    </row>
    <row r="33" customFormat="1" s="5">
      <c r="A33" s="13" t="inlineStr">
        <is>
          <t>FONDO PENSIONE APERTO PENSPLAN PROFI</t>
        </is>
      </c>
      <c r="B33" s="7" t="inlineStr">
        <is>
          <t>https://www.fondopensioneprofi.com/</t>
        </is>
      </c>
      <c r="C33" s="8" t="n"/>
      <c r="D33" s="60" t="n"/>
      <c r="E33" s="60" t="n"/>
      <c r="F33" s="61" t="n"/>
      <c r="G33" s="18" t="n"/>
      <c r="H33" s="31">
        <f>COUNTIF(Comparti!$A:$A,$A33)</f>
        <v>0</v>
      </c>
      <c r="I33" s="19" t="str">
        <f>IF($H33=0,"",_xlfn.MINIFS(Comparti!$H:$H,Comparti!$A:$A,$A33))</f>
        <v/>
      </c>
      <c r="J33" s="19" t="str">
        <f>IF($H33=0,"",_xlfn.MAXIFS(Comparti!$H:$H,Comparti!$A:$A,$A33))</f>
        <v/>
      </c>
      <c r="K33" s="19" t="str">
        <f>IF($H33=0,"",_xlfn.MAXIFS(Comparti!$D:$D,Comparti!$A:$A,$A33))</f>
        <v/>
      </c>
      <c r="L33" s="19" t="str">
        <f>IF(COUNTIFS(Comparti!$A:$A,$A33,Comparti!$G:$G,10)=0,"",_xlfn.MAXIFS(Comparti!$F:$F,Comparti!$A:$A,$A33,Comparti!$G:$G,10))</f>
        <v/>
      </c>
      <c r="M33" s="18" t="n"/>
      <c r="N33" s="18" t="n"/>
      <c r="O33" s="18" t="n"/>
      <c r="P33" s="8" t="n"/>
      <c r="Q33" s="28" t="inlineStr">
        <is>
          <t>Nessuna scheda Ciao Elsa fornita.</t>
        </is>
      </c>
    </row>
    <row r="34" customFormat="1" s="5">
      <c r="A34" s="14" t="inlineStr">
        <is>
          <t>RAIFFEISEN FONDO PENSIONE APERTO</t>
        </is>
      </c>
      <c r="B34" s="9" t="inlineStr">
        <is>
          <t>https://www.raiffeisenpensionsfonds.it/it/il-raiffeisen-fondo-pensione/chi-siamo.html</t>
        </is>
      </c>
      <c r="C34" s="10" t="n"/>
      <c r="D34" s="62" t="n"/>
      <c r="E34" s="62" t="n"/>
      <c r="F34" s="63" t="n"/>
      <c r="G34" s="22" t="n"/>
      <c r="H34" s="32">
        <f>COUNTIF(Comparti!$A:$A,$A34)</f>
        <v>0</v>
      </c>
      <c r="I34" s="23" t="str">
        <f>IF($H34=0,"",_xlfn.MINIFS(Comparti!$H:$H,Comparti!$A:$A,$A34))</f>
        <v/>
      </c>
      <c r="J34" s="23" t="str">
        <f>IF($H34=0,"",_xlfn.MAXIFS(Comparti!$H:$H,Comparti!$A:$A,$A34))</f>
        <v/>
      </c>
      <c r="K34" s="23" t="str">
        <f>IF($H34=0,"",_xlfn.MAXIFS(Comparti!$D:$D,Comparti!$A:$A,$A34))</f>
        <v/>
      </c>
      <c r="L34" s="23" t="str">
        <f>IF(COUNTIFS(Comparti!$A:$A,$A34,Comparti!$G:$G,10)=0,"",_xlfn.MAXIFS(Comparti!$F:$F,Comparti!$A:$A,$A34,Comparti!$G:$G,10))</f>
        <v/>
      </c>
      <c r="M34" s="22" t="n"/>
      <c r="N34" s="22" t="n"/>
      <c r="O34" s="22" t="n"/>
      <c r="P34" s="10" t="n"/>
      <c r="Q34" s="29" t="inlineStr">
        <is>
          <t>Nessuna scheda Ciao Elsa fornita.</t>
        </is>
      </c>
    </row>
    <row r="35" customFormat="1" s="5">
      <c r="A35" s="13" t="inlineStr">
        <is>
          <t>FONDO PENSIONE APERTO IL MELOGRANO</t>
        </is>
      </c>
      <c r="B35" s="7" t="inlineStr">
        <is>
          <t>https://www.assimoco.it/assimoco/offerta/protezione-persona-casa-famiglia/previdenza/il-melograno.html</t>
        </is>
      </c>
      <c r="C35" s="8" t="inlineStr">
        <is>
          <t>Assimoco Vita</t>
        </is>
      </c>
      <c r="D35" s="60" t="n">
        <v>25</v>
      </c>
      <c r="E35" s="60" t="n">
        <v>0</v>
      </c>
      <c r="F35" s="61" t="n">
        <v>0.005</v>
      </c>
      <c r="G35" s="18" t="n">
        <v>4</v>
      </c>
      <c r="H35" s="31">
        <f>COUNTIF(Comparti!$A:$A,$A35)</f>
        <v>4</v>
      </c>
      <c r="I35" s="19">
        <f>IF($H35=0,"",_xlfn.MINIFS(Comparti!$H:$H,Comparti!$A:$A,$A35))</f>
        <v>0.008</v>
      </c>
      <c r="J35" s="19">
        <f>IF($H35=0,"",_xlfn.MAXIFS(Comparti!$H:$H,Comparti!$A:$A,$A35))</f>
        <v>0.014</v>
      </c>
      <c r="K35" s="19">
        <f>IF($H35=0,"",_xlfn.MAXIFS(Comparti!$D:$D,Comparti!$A:$A,$A35))</f>
        <v>0.85</v>
      </c>
      <c r="L35" s="19">
        <f>IF(COUNTIFS(Comparti!$A:$A,$A35,Comparti!$G:$G,10)=0,"",_xlfn.MAXIFS(Comparti!$F:$F,Comparti!$A:$A,$A35,Comparti!$G:$G,10))</f>
        <v>0.0463</v>
      </c>
      <c r="M35" s="18" t="inlineStr">
        <is>
          <t>No</t>
        </is>
      </c>
      <c r="N35" s="18" t="inlineStr">
        <is>
          <t>No</t>
        </is>
      </c>
      <c r="O35" s="18" t="inlineStr">
        <is>
          <t>No</t>
        </is>
      </c>
      <c r="P35" s="7" t="inlineStr">
        <is>
          <t>Scheda Ciao Elsa</t>
        </is>
      </c>
      <c r="Q35" s="28" t="inlineStr">
        <is>
          <t>Nessuna spesa annua fissa, ma un costo dello 0,5% su ogni versamento (colonna F).</t>
        </is>
      </c>
    </row>
    <row r="36" customFormat="1" s="5">
      <c r="A36" s="14" t="inlineStr">
        <is>
          <t>FONDO PENSIONE APERTO UBI PREVIDENZA</t>
        </is>
      </c>
      <c r="B36" s="9" t="inlineStr">
        <is>
          <t>https://www.intesasanpaoloassicurazioni.com/it/prodotti-e-rendimenti/pensione-integrativa/fondo-pensione-aperto-ubi-previdenza.html</t>
        </is>
      </c>
      <c r="C36" s="10" t="n"/>
      <c r="D36" s="62" t="n"/>
      <c r="E36" s="62" t="n"/>
      <c r="F36" s="63" t="n"/>
      <c r="G36" s="22" t="n"/>
      <c r="H36" s="32">
        <f>COUNTIF(Comparti!$A:$A,$A36)</f>
        <v>0</v>
      </c>
      <c r="I36" s="23" t="str">
        <f>IF($H36=0,"",_xlfn.MINIFS(Comparti!$H:$H,Comparti!$A:$A,$A36))</f>
        <v/>
      </c>
      <c r="J36" s="23" t="str">
        <f>IF($H36=0,"",_xlfn.MAXIFS(Comparti!$H:$H,Comparti!$A:$A,$A36))</f>
        <v/>
      </c>
      <c r="K36" s="23" t="str">
        <f>IF($H36=0,"",_xlfn.MAXIFS(Comparti!$D:$D,Comparti!$A:$A,$A36))</f>
        <v/>
      </c>
      <c r="L36" s="23" t="str">
        <f>IF(COUNTIFS(Comparti!$A:$A,$A36,Comparti!$G:$G,10)=0,"",_xlfn.MAXIFS(Comparti!$F:$F,Comparti!$A:$A,$A36,Comparti!$G:$G,10))</f>
        <v/>
      </c>
      <c r="M36" s="22" t="n"/>
      <c r="N36" s="22" t="n"/>
      <c r="O36" s="22" t="n"/>
      <c r="P36" s="10" t="n"/>
      <c r="Q36" s="29" t="inlineStr">
        <is>
          <t>Nessuna scheda Ciao Elsa fornita.</t>
        </is>
      </c>
    </row>
    <row r="37" customFormat="1" s="5">
      <c r="A37" s="13" t="inlineStr">
        <is>
          <t>FONDO PENSIONE APERTO SOLUZIONE PREVIDENTE</t>
        </is>
      </c>
      <c r="B37" s="7" t="inlineStr">
        <is>
          <t>https://www.helvetia.com/it/web/it/prodotti-e-servizi/prodotti-dedicati-alla-previdenza-complementare/previdenza_complementare/fpa-soluzione-previdente.html</t>
        </is>
      </c>
      <c r="C37" s="8" t="n"/>
      <c r="D37" s="60" t="n"/>
      <c r="E37" s="60" t="n"/>
      <c r="F37" s="61" t="n"/>
      <c r="G37" s="18" t="n"/>
      <c r="H37" s="31">
        <f>COUNTIF(Comparti!$A:$A,$A37)</f>
        <v>0</v>
      </c>
      <c r="I37" s="19" t="str">
        <f>IF($H37=0,"",_xlfn.MINIFS(Comparti!$H:$H,Comparti!$A:$A,$A37))</f>
        <v/>
      </c>
      <c r="J37" s="19" t="str">
        <f>IF($H37=0,"",_xlfn.MAXIFS(Comparti!$H:$H,Comparti!$A:$A,$A37))</f>
        <v/>
      </c>
      <c r="K37" s="19" t="str">
        <f>IF($H37=0,"",_xlfn.MAXIFS(Comparti!$D:$D,Comparti!$A:$A,$A37))</f>
        <v/>
      </c>
      <c r="L37" s="19" t="str">
        <f>IF(COUNTIFS(Comparti!$A:$A,$A37,Comparti!$G:$G,10)=0,"",_xlfn.MAXIFS(Comparti!$F:$F,Comparti!$A:$A,$A37,Comparti!$G:$G,10))</f>
        <v/>
      </c>
      <c r="M37" s="18" t="n"/>
      <c r="N37" s="18" t="n"/>
      <c r="O37" s="18" t="n"/>
      <c r="P37" s="8" t="n"/>
      <c r="Q37" s="28" t="inlineStr">
        <is>
          <t>Nessuna scheda Ciao Elsa fornita.</t>
        </is>
      </c>
    </row>
    <row r="38" customFormat="1" s="5">
      <c r="A38" s="14" t="inlineStr">
        <is>
          <t>BAP PENSIONE 2007 FONDO PENSIONE APERTO</t>
        </is>
      </c>
      <c r="B38" s="9" t="inlineStr">
        <is>
          <t>https://www.intesasanpaoloassicurazioni.com/it/prodotti-e-rendimenti/pensione-integrativa/bappensione-2007.html</t>
        </is>
      </c>
      <c r="C38" s="10" t="n"/>
      <c r="D38" s="62" t="n"/>
      <c r="E38" s="62" t="n"/>
      <c r="F38" s="63" t="n"/>
      <c r="G38" s="22" t="n"/>
      <c r="H38" s="32">
        <f>COUNTIF(Comparti!$A:$A,$A38)</f>
        <v>0</v>
      </c>
      <c r="I38" s="23" t="str">
        <f>IF($H38=0,"",_xlfn.MINIFS(Comparti!$H:$H,Comparti!$A:$A,$A38))</f>
        <v/>
      </c>
      <c r="J38" s="23" t="str">
        <f>IF($H38=0,"",_xlfn.MAXIFS(Comparti!$H:$H,Comparti!$A:$A,$A38))</f>
        <v/>
      </c>
      <c r="K38" s="23" t="str">
        <f>IF($H38=0,"",_xlfn.MAXIFS(Comparti!$D:$D,Comparti!$A:$A,$A38))</f>
        <v/>
      </c>
      <c r="L38" s="23" t="str">
        <f>IF(COUNTIFS(Comparti!$A:$A,$A38,Comparti!$G:$G,10)=0,"",_xlfn.MAXIFS(Comparti!$F:$F,Comparti!$A:$A,$A38,Comparti!$G:$G,10))</f>
        <v/>
      </c>
      <c r="M38" s="22" t="n"/>
      <c r="N38" s="22" t="n"/>
      <c r="O38" s="22" t="n"/>
      <c r="P38" s="10" t="n"/>
      <c r="Q38" s="29" t="inlineStr">
        <is>
          <t>Nessuna scheda Ciao Elsa fornita.</t>
        </is>
      </c>
    </row>
    <row r="39" customFormat="1" s="5">
      <c r="A39" s="13" t="inlineStr">
        <is>
          <t>CORE PENSION FONDO PENSIONE APERTO</t>
        </is>
      </c>
      <c r="B39" s="7" t="inlineStr">
        <is>
          <t>https://www.corepension.it</t>
        </is>
      </c>
      <c r="C39" s="8" t="n"/>
      <c r="D39" s="60" t="n"/>
      <c r="E39" s="60" t="n"/>
      <c r="F39" s="61" t="n"/>
      <c r="G39" s="18" t="n"/>
      <c r="H39" s="31">
        <f>COUNTIF(Comparti!$A:$A,$A39)</f>
        <v>0</v>
      </c>
      <c r="I39" s="19" t="str">
        <f>IF($H39=0,"",_xlfn.MINIFS(Comparti!$H:$H,Comparti!$A:$A,$A39))</f>
        <v/>
      </c>
      <c r="J39" s="19" t="str">
        <f>IF($H39=0,"",_xlfn.MAXIFS(Comparti!$H:$H,Comparti!$A:$A,$A39))</f>
        <v/>
      </c>
      <c r="K39" s="19" t="str">
        <f>IF($H39=0,"",_xlfn.MAXIFS(Comparti!$D:$D,Comparti!$A:$A,$A39))</f>
        <v/>
      </c>
      <c r="L39" s="19" t="str">
        <f>IF(COUNTIFS(Comparti!$A:$A,$A39,Comparti!$G:$G,10)=0,"",_xlfn.MAXIFS(Comparti!$F:$F,Comparti!$A:$A,$A39,Comparti!$G:$G,10))</f>
        <v/>
      </c>
      <c r="M39" s="18" t="n"/>
      <c r="N39" s="18" t="n"/>
      <c r="O39" s="18" t="n"/>
      <c r="P39" s="8" t="n"/>
      <c r="Q39" s="28" t="inlineStr">
        <is>
          <t>Nessuna scheda Ciao Elsa fornita.</t>
        </is>
      </c>
    </row>
    <row r="40" ht="15.75" customFormat="1" customHeight="1" s="5" thickBot="1">
      <c r="A40" s="15" t="inlineStr">
        <is>
          <t>AZIMUT SUSTAINABLE FUTURE - FONDO PENSIONE APERTO</t>
        </is>
      </c>
      <c r="B40" s="11" t="inlineStr">
        <is>
          <t>https://www.azimutwm.it/web/azimut.it/prodotti/previdenza</t>
        </is>
      </c>
      <c r="C40" s="12" t="n"/>
      <c r="D40" s="64" t="n"/>
      <c r="E40" s="64" t="n"/>
      <c r="F40" s="65" t="n"/>
      <c r="G40" s="26" t="n"/>
      <c r="H40" s="33">
        <f>COUNTIF(Comparti!$A:$A,$A40)</f>
        <v>0</v>
      </c>
      <c r="I40" s="27" t="str">
        <f>IF($H40=0,"",_xlfn.MINIFS(Comparti!$H:$H,Comparti!$A:$A,$A40))</f>
        <v/>
      </c>
      <c r="J40" s="27" t="str">
        <f>IF($H40=0,"",_xlfn.MAXIFS(Comparti!$H:$H,Comparti!$A:$A,$A40))</f>
        <v/>
      </c>
      <c r="K40" s="27" t="str">
        <f>IF($H40=0,"",_xlfn.MAXIFS(Comparti!$D:$D,Comparti!$A:$A,$A40))</f>
        <v/>
      </c>
      <c r="L40" s="27" t="str">
        <f>IF(COUNTIFS(Comparti!$A:$A,$A40,Comparti!$G:$G,10)=0,"",_xlfn.MAXIFS(Comparti!$F:$F,Comparti!$A:$A,$A40,Comparti!$G:$G,10))</f>
        <v/>
      </c>
      <c r="M40" s="26" t="n"/>
      <c r="N40" s="26" t="n"/>
      <c r="O40" s="26" t="n"/>
      <c r="P40" s="12" t="n"/>
      <c r="Q40" s="30" t="inlineStr">
        <is>
          <t>Nessuna scheda Ciao Elsa fornita.</t>
        </is>
      </c>
    </row>
  </sheetData>
  <autoFilter ref="A2:Q40"/>
  <mergeCells count="1">
    <mergeCell ref="A1:B1"/>
  </mergeCells>
  <hyperlinks>
    <hyperlink xmlns:r="http://schemas.openxmlformats.org/officeDocument/2006/relationships" ref="B3" r:id="rId1"/>
    <hyperlink xmlns:r="http://schemas.openxmlformats.org/officeDocument/2006/relationships" ref="P3" r:id="rId2"/>
    <hyperlink xmlns:r="http://schemas.openxmlformats.org/officeDocument/2006/relationships" ref="B4" r:id="rId3"/>
    <hyperlink xmlns:r="http://schemas.openxmlformats.org/officeDocument/2006/relationships" ref="P4" r:id="rId4"/>
    <hyperlink xmlns:r="http://schemas.openxmlformats.org/officeDocument/2006/relationships" ref="B5" r:id="rId5"/>
    <hyperlink xmlns:r="http://schemas.openxmlformats.org/officeDocument/2006/relationships" ref="B6" r:id="rId6"/>
    <hyperlink xmlns:r="http://schemas.openxmlformats.org/officeDocument/2006/relationships" ref="P6" r:id="rId7"/>
    <hyperlink xmlns:r="http://schemas.openxmlformats.org/officeDocument/2006/relationships" ref="B7" r:id="rId8"/>
    <hyperlink xmlns:r="http://schemas.openxmlformats.org/officeDocument/2006/relationships" ref="P7" r:id="rId9"/>
    <hyperlink xmlns:r="http://schemas.openxmlformats.org/officeDocument/2006/relationships" ref="B8" r:id="rId10"/>
    <hyperlink xmlns:r="http://schemas.openxmlformats.org/officeDocument/2006/relationships" ref="B9" r:id="rId11"/>
    <hyperlink xmlns:r="http://schemas.openxmlformats.org/officeDocument/2006/relationships" ref="P9" r:id="rId12"/>
    <hyperlink xmlns:r="http://schemas.openxmlformats.org/officeDocument/2006/relationships" ref="B10" r:id="rId13"/>
    <hyperlink xmlns:r="http://schemas.openxmlformats.org/officeDocument/2006/relationships" ref="P10" r:id="rId14"/>
    <hyperlink xmlns:r="http://schemas.openxmlformats.org/officeDocument/2006/relationships" ref="B11" r:id="rId15"/>
    <hyperlink xmlns:r="http://schemas.openxmlformats.org/officeDocument/2006/relationships" ref="P11" r:id="rId16"/>
    <hyperlink xmlns:r="http://schemas.openxmlformats.org/officeDocument/2006/relationships" ref="B12" r:id="rId17"/>
    <hyperlink xmlns:r="http://schemas.openxmlformats.org/officeDocument/2006/relationships" ref="B13" r:id="rId18"/>
    <hyperlink xmlns:r="http://schemas.openxmlformats.org/officeDocument/2006/relationships" ref="B14" r:id="rId19"/>
    <hyperlink xmlns:r="http://schemas.openxmlformats.org/officeDocument/2006/relationships" ref="B15" r:id="rId20"/>
    <hyperlink xmlns:r="http://schemas.openxmlformats.org/officeDocument/2006/relationships" ref="B16" r:id="rId21"/>
    <hyperlink xmlns:r="http://schemas.openxmlformats.org/officeDocument/2006/relationships" ref="P16" r:id="rId22"/>
    <hyperlink xmlns:r="http://schemas.openxmlformats.org/officeDocument/2006/relationships" ref="B17" r:id="rId23"/>
    <hyperlink xmlns:r="http://schemas.openxmlformats.org/officeDocument/2006/relationships" ref="P17" r:id="rId24"/>
    <hyperlink xmlns:r="http://schemas.openxmlformats.org/officeDocument/2006/relationships" ref="B18" r:id="rId25"/>
    <hyperlink xmlns:r="http://schemas.openxmlformats.org/officeDocument/2006/relationships" ref="P18" r:id="rId26"/>
    <hyperlink xmlns:r="http://schemas.openxmlformats.org/officeDocument/2006/relationships" ref="B19" r:id="rId27"/>
    <hyperlink xmlns:r="http://schemas.openxmlformats.org/officeDocument/2006/relationships" ref="P19" r:id="rId28"/>
    <hyperlink xmlns:r="http://schemas.openxmlformats.org/officeDocument/2006/relationships" ref="B20" r:id="rId29"/>
    <hyperlink xmlns:r="http://schemas.openxmlformats.org/officeDocument/2006/relationships" ref="P20" r:id="rId30"/>
    <hyperlink xmlns:r="http://schemas.openxmlformats.org/officeDocument/2006/relationships" ref="B21" r:id="rId31"/>
    <hyperlink xmlns:r="http://schemas.openxmlformats.org/officeDocument/2006/relationships" ref="P21" r:id="rId32"/>
    <hyperlink xmlns:r="http://schemas.openxmlformats.org/officeDocument/2006/relationships" ref="B22" r:id="rId33"/>
    <hyperlink xmlns:r="http://schemas.openxmlformats.org/officeDocument/2006/relationships" ref="P22" r:id="rId34"/>
    <hyperlink xmlns:r="http://schemas.openxmlformats.org/officeDocument/2006/relationships" ref="B23" r:id="rId35"/>
    <hyperlink xmlns:r="http://schemas.openxmlformats.org/officeDocument/2006/relationships" ref="P23" r:id="rId36"/>
    <hyperlink xmlns:r="http://schemas.openxmlformats.org/officeDocument/2006/relationships" ref="B24" r:id="rId37"/>
    <hyperlink xmlns:r="http://schemas.openxmlformats.org/officeDocument/2006/relationships" ref="P24" r:id="rId38"/>
    <hyperlink xmlns:r="http://schemas.openxmlformats.org/officeDocument/2006/relationships" ref="B25" r:id="rId39"/>
    <hyperlink xmlns:r="http://schemas.openxmlformats.org/officeDocument/2006/relationships" ref="B26" r:id="rId40"/>
    <hyperlink xmlns:r="http://schemas.openxmlformats.org/officeDocument/2006/relationships" ref="P26" r:id="rId41"/>
    <hyperlink xmlns:r="http://schemas.openxmlformats.org/officeDocument/2006/relationships" ref="B27" r:id="rId42"/>
    <hyperlink xmlns:r="http://schemas.openxmlformats.org/officeDocument/2006/relationships" ref="B28" r:id="rId43"/>
    <hyperlink xmlns:r="http://schemas.openxmlformats.org/officeDocument/2006/relationships" ref="P28" r:id="rId44"/>
    <hyperlink xmlns:r="http://schemas.openxmlformats.org/officeDocument/2006/relationships" ref="B29" r:id="rId45"/>
    <hyperlink xmlns:r="http://schemas.openxmlformats.org/officeDocument/2006/relationships" ref="P29" r:id="rId46"/>
    <hyperlink xmlns:r="http://schemas.openxmlformats.org/officeDocument/2006/relationships" ref="B30" r:id="rId47"/>
    <hyperlink xmlns:r="http://schemas.openxmlformats.org/officeDocument/2006/relationships" ref="P30" r:id="rId48"/>
    <hyperlink xmlns:r="http://schemas.openxmlformats.org/officeDocument/2006/relationships" ref="B31" r:id="rId49"/>
    <hyperlink xmlns:r="http://schemas.openxmlformats.org/officeDocument/2006/relationships" ref="P31" r:id="rId50"/>
    <hyperlink xmlns:r="http://schemas.openxmlformats.org/officeDocument/2006/relationships" ref="B32" r:id="rId51"/>
    <hyperlink xmlns:r="http://schemas.openxmlformats.org/officeDocument/2006/relationships" ref="P32" r:id="rId52"/>
    <hyperlink xmlns:r="http://schemas.openxmlformats.org/officeDocument/2006/relationships" ref="B33" r:id="rId53"/>
    <hyperlink xmlns:r="http://schemas.openxmlformats.org/officeDocument/2006/relationships" ref="B34" r:id="rId54"/>
    <hyperlink xmlns:r="http://schemas.openxmlformats.org/officeDocument/2006/relationships" ref="B35" r:id="rId55"/>
    <hyperlink xmlns:r="http://schemas.openxmlformats.org/officeDocument/2006/relationships" ref="P35" r:id="rId56"/>
    <hyperlink xmlns:r="http://schemas.openxmlformats.org/officeDocument/2006/relationships" ref="B36" r:id="rId57"/>
    <hyperlink xmlns:r="http://schemas.openxmlformats.org/officeDocument/2006/relationships" ref="B37" r:id="rId58"/>
    <hyperlink xmlns:r="http://schemas.openxmlformats.org/officeDocument/2006/relationships" ref="B38" r:id="rId59"/>
    <hyperlink xmlns:r="http://schemas.openxmlformats.org/officeDocument/2006/relationships" ref="B39" r:id="rId60"/>
    <hyperlink xmlns:r="http://schemas.openxmlformats.org/officeDocument/2006/relationships" ref="B40" r:id="rId6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showGridLines="0" tabSelected="1" topLeftCell="B1" workbookViewId="0">
      <pane ySplit="1" topLeftCell="A2" activePane="bottomLeft" state="frozen"/>
      <selection pane="bottomLeft" activeCell="I2" sqref="I2"/>
    </sheetView>
  </sheetViews>
  <sheetFormatPr baseColWidth="8" defaultRowHeight="15"/>
  <cols>
    <col width="60" customWidth="1" min="1" max="1"/>
    <col width="34.5703125" customWidth="1" min="2" max="2"/>
    <col width="15.42578125" customWidth="1" min="3" max="8"/>
    <col width="21.85546875" customWidth="1" min="9" max="9"/>
    <col width="69.140625" customWidth="1" min="10" max="10"/>
  </cols>
  <sheetData>
    <row r="1" ht="39.95" customHeight="1">
      <c r="A1" s="35" t="inlineStr">
        <is>
          <t>Fondo</t>
        </is>
      </c>
      <c r="B1" s="34" t="inlineStr">
        <is>
          <t>Comparto</t>
        </is>
      </c>
      <c r="C1" s="34" t="inlineStr">
        <is>
          <t>Categoria (Ciao Elsa)</t>
        </is>
      </c>
      <c r="D1" s="34" t="inlineStr">
        <is>
          <t>% Azioni</t>
        </is>
      </c>
      <c r="E1" s="34" t="inlineStr">
        <is>
          <t>% Obbligazioni</t>
        </is>
      </c>
      <c r="F1" s="34" t="inlineStr">
        <is>
          <t>Rendimento netto medio annuo</t>
        </is>
      </c>
      <c r="G1" s="34" t="inlineStr">
        <is>
          <t>Periodo rendimento (anni)</t>
        </is>
      </c>
      <c r="H1" s="34" t="inlineStr">
        <is>
          <t>Commissione di gestione annua</t>
        </is>
      </c>
      <c r="I1" s="34" t="inlineStr">
        <is>
          <t>Scheda Ciao Elsa (fonte)</t>
        </is>
      </c>
      <c r="J1" s="36" t="inlineStr">
        <is>
          <t>Note</t>
        </is>
      </c>
    </row>
    <row r="2">
      <c r="A2" s="37" t="str">
        <f>Sheet1!$A$3</f>
        <v>ALLIANZ PREVIDENZA FONDO PENSIONE APERTO A CONTRIBUZIONE DEFINITA</v>
      </c>
      <c r="B2" s="38" t="inlineStr">
        <is>
          <t>Linea azionaria</t>
        </is>
      </c>
      <c r="C2" s="43" t="inlineStr">
        <is>
          <t>AZN</t>
        </is>
      </c>
      <c r="D2" s="44" t="n">
        <v>0.9</v>
      </c>
      <c r="E2" s="44" t="n">
        <v>0.1</v>
      </c>
      <c r="F2" s="44" t="n">
        <v>0.0654</v>
      </c>
      <c r="G2" s="45" t="n">
        <v>10</v>
      </c>
      <c r="H2" s="44" t="n">
        <v>0.0145</v>
      </c>
      <c r="I2" s="55" t="inlineStr">
        <is>
          <t>Scheda Ciao Elsa</t>
        </is>
      </c>
      <c r="J2" s="52" t="n"/>
    </row>
    <row r="3">
      <c r="A3" s="39" t="str">
        <f>Sheet1!$A$3</f>
        <v>ALLIANZ PREVIDENZA FONDO PENSIONE APERTO A CONTRIBUZIONE DEFINITA</v>
      </c>
      <c r="B3" s="40" t="inlineStr">
        <is>
          <t>Linea bilanciata</t>
        </is>
      </c>
      <c r="C3" s="46" t="inlineStr">
        <is>
          <t>BIL</t>
        </is>
      </c>
      <c r="D3" s="47" t="n">
        <v>0.4</v>
      </c>
      <c r="E3" s="47" t="n">
        <v>0.6</v>
      </c>
      <c r="F3" s="47" t="n">
        <v>0.0267</v>
      </c>
      <c r="G3" s="48" t="n">
        <v>10</v>
      </c>
      <c r="H3" s="47" t="n">
        <v>0.0125</v>
      </c>
      <c r="I3" s="56" t="inlineStr">
        <is>
          <t>Scheda Ciao Elsa</t>
        </is>
      </c>
      <c r="J3" s="53" t="n"/>
    </row>
    <row r="4">
      <c r="A4" s="37" t="str">
        <f>Sheet1!$A$3</f>
        <v>ALLIANZ PREVIDENZA FONDO PENSIONE APERTO A CONTRIBUZIONE DEFINITA</v>
      </c>
      <c r="B4" s="38" t="inlineStr">
        <is>
          <t>Linea flessibile</t>
        </is>
      </c>
      <c r="C4" s="43" t="inlineStr">
        <is>
          <t>OBB PURO</t>
        </is>
      </c>
      <c r="D4" s="44" t="n">
        <v>0.02</v>
      </c>
      <c r="E4" s="44" t="n">
        <v>0.98</v>
      </c>
      <c r="F4" s="44" t="n">
        <v>-0.0007000000000000001</v>
      </c>
      <c r="G4" s="45" t="n">
        <v>10</v>
      </c>
      <c r="H4" s="44" t="n">
        <v>0.011</v>
      </c>
      <c r="I4" s="55" t="inlineStr">
        <is>
          <t>Scheda Ciao Elsa</t>
        </is>
      </c>
      <c r="J4" s="52" t="n"/>
    </row>
    <row r="5">
      <c r="A5" s="39" t="str">
        <f>Sheet1!$A$3</f>
        <v>ALLIANZ PREVIDENZA FONDO PENSIONE APERTO A CONTRIBUZIONE DEFINITA</v>
      </c>
      <c r="B5" s="40" t="inlineStr">
        <is>
          <t>Linea obbligazionaria lungo termine</t>
        </is>
      </c>
      <c r="C5" s="46" t="inlineStr">
        <is>
          <t>OBB PURO</t>
        </is>
      </c>
      <c r="D5" s="47" t="n">
        <v>0</v>
      </c>
      <c r="E5" s="47" t="n">
        <v>1</v>
      </c>
      <c r="F5" s="47" t="n">
        <v>0.0044</v>
      </c>
      <c r="G5" s="48" t="n">
        <v>10</v>
      </c>
      <c r="H5" s="47" t="n">
        <v>0.012</v>
      </c>
      <c r="I5" s="56" t="inlineStr">
        <is>
          <t>Scheda Ciao Elsa</t>
        </is>
      </c>
      <c r="J5" s="53" t="n"/>
    </row>
    <row r="6">
      <c r="A6" s="37" t="str">
        <f>Sheet1!$A$3</f>
        <v>ALLIANZ PREVIDENZA FONDO PENSIONE APERTO A CONTRIBUZIONE DEFINITA</v>
      </c>
      <c r="B6" s="38" t="inlineStr">
        <is>
          <t>Linea obbligazionaria breve termine</t>
        </is>
      </c>
      <c r="C6" s="43" t="inlineStr">
        <is>
          <t>OBB PURO</t>
        </is>
      </c>
      <c r="D6" s="44" t="n">
        <v>0</v>
      </c>
      <c r="E6" s="44" t="n">
        <v>1</v>
      </c>
      <c r="F6" s="44" t="n">
        <v>-0.004500000000000001</v>
      </c>
      <c r="G6" s="45" t="n">
        <v>10</v>
      </c>
      <c r="H6" s="44" t="n">
        <v>0.01</v>
      </c>
      <c r="I6" s="55" t="inlineStr">
        <is>
          <t>Scheda Ciao Elsa</t>
        </is>
      </c>
      <c r="J6" s="52" t="n"/>
    </row>
    <row r="7">
      <c r="A7" s="39" t="str">
        <f>Sheet1!$A$4</f>
        <v>PREVIDENZA PER TE - FONDO PENSIONE APERTO</v>
      </c>
      <c r="B7" s="40" t="inlineStr">
        <is>
          <t>Crescita</t>
        </is>
      </c>
      <c r="C7" s="46" t="inlineStr">
        <is>
          <t>AZN</t>
        </is>
      </c>
      <c r="D7" s="47" t="n">
        <v>0.82</v>
      </c>
      <c r="E7" s="47" t="n">
        <v>0.18</v>
      </c>
      <c r="F7" s="47" t="n">
        <v>0.0518</v>
      </c>
      <c r="G7" s="48" t="n">
        <v>10</v>
      </c>
      <c r="H7" s="47" t="n">
        <v>0.016</v>
      </c>
      <c r="I7" s="56" t="inlineStr">
        <is>
          <t>Scheda Ciao Elsa</t>
        </is>
      </c>
      <c r="J7" s="53" t="n"/>
    </row>
    <row r="8">
      <c r="A8" s="37" t="str">
        <f>Sheet1!$A$4</f>
        <v>PREVIDENZA PER TE - FONDO PENSIONE APERTO</v>
      </c>
      <c r="B8" s="38" t="inlineStr">
        <is>
          <t>Mista</t>
        </is>
      </c>
      <c r="C8" s="43" t="inlineStr">
        <is>
          <t>BIL</t>
        </is>
      </c>
      <c r="D8" s="44" t="n">
        <v>0.58</v>
      </c>
      <c r="E8" s="44" t="n">
        <v>0.42</v>
      </c>
      <c r="F8" s="44" t="n">
        <v>0.0368</v>
      </c>
      <c r="G8" s="45" t="n">
        <v>10</v>
      </c>
      <c r="H8" s="44" t="n">
        <v>0.014</v>
      </c>
      <c r="I8" s="55" t="inlineStr">
        <is>
          <t>Scheda Ciao Elsa</t>
        </is>
      </c>
      <c r="J8" s="52" t="n"/>
    </row>
    <row r="9">
      <c r="A9" s="39" t="str">
        <f>Sheet1!$A$4</f>
        <v>PREVIDENZA PER TE - FONDO PENSIONE APERTO</v>
      </c>
      <c r="B9" s="40" t="inlineStr">
        <is>
          <t>Stabilità</t>
        </is>
      </c>
      <c r="C9" s="46" t="inlineStr">
        <is>
          <t>BIL</t>
        </is>
      </c>
      <c r="D9" s="47" t="n">
        <v>0.33</v>
      </c>
      <c r="E9" s="47" t="n">
        <v>0.67</v>
      </c>
      <c r="F9" s="47" t="n">
        <v>0.0225</v>
      </c>
      <c r="G9" s="48" t="n">
        <v>10</v>
      </c>
      <c r="H9" s="47" t="n">
        <v>0.011</v>
      </c>
      <c r="I9" s="56" t="inlineStr">
        <is>
          <t>Scheda Ciao Elsa</t>
        </is>
      </c>
      <c r="J9" s="53" t="n"/>
    </row>
    <row r="10">
      <c r="A10" s="37" t="str">
        <f>Sheet1!$A$4</f>
        <v>PREVIDENZA PER TE - FONDO PENSIONE APERTO</v>
      </c>
      <c r="B10" s="38" t="inlineStr">
        <is>
          <t>Garantita</t>
        </is>
      </c>
      <c r="C10" s="43" t="inlineStr">
        <is>
          <t>OBB MISTO</t>
        </is>
      </c>
      <c r="D10" s="44" t="n">
        <v>0.06</v>
      </c>
      <c r="E10" s="44" t="n">
        <v>0.9399999999999999</v>
      </c>
      <c r="F10" s="44" t="n">
        <v>0.0002</v>
      </c>
      <c r="G10" s="45" t="n">
        <v>10</v>
      </c>
      <c r="H10" s="44" t="n">
        <v>0.012</v>
      </c>
      <c r="I10" s="55" t="inlineStr">
        <is>
          <t>Scheda Ciao Elsa</t>
        </is>
      </c>
      <c r="J10" s="52" t="n"/>
    </row>
    <row r="11">
      <c r="A11" s="39" t="str">
        <f>Sheet1!$A$4</f>
        <v>PREVIDENZA PER TE - FONDO PENSIONE APERTO</v>
      </c>
      <c r="B11" s="40" t="inlineStr">
        <is>
          <t>Moneta</t>
        </is>
      </c>
      <c r="C11" s="46" t="inlineStr">
        <is>
          <t>OBB PURO</t>
        </is>
      </c>
      <c r="D11" s="47" t="n">
        <v>0</v>
      </c>
      <c r="E11" s="47" t="n">
        <v>1</v>
      </c>
      <c r="F11" s="47" t="n">
        <v>0.0013</v>
      </c>
      <c r="G11" s="48" t="n">
        <v>10</v>
      </c>
      <c r="H11" s="47" t="n">
        <v>0.011</v>
      </c>
      <c r="I11" s="56" t="inlineStr">
        <is>
          <t>Scheda Ciao Elsa</t>
        </is>
      </c>
      <c r="J11" s="53" t="n"/>
    </row>
    <row r="12">
      <c r="A12" s="37" t="str">
        <f>Sheet1!$A$6</f>
        <v>FONDO PENSIONE FIDEURAM FONDO PENSIONE APERTO</v>
      </c>
      <c r="B12" s="38" t="inlineStr">
        <is>
          <t>Millennials</t>
        </is>
      </c>
      <c r="C12" s="43" t="inlineStr">
        <is>
          <t>AZN</t>
        </is>
      </c>
      <c r="D12" s="44" t="n">
        <v>0.9474</v>
      </c>
      <c r="E12" s="44" t="n">
        <v>0.0526</v>
      </c>
      <c r="F12" s="44" t="n">
        <v>0.059</v>
      </c>
      <c r="G12" s="45" t="n">
        <v>5</v>
      </c>
      <c r="H12" s="44" t="n">
        <v>0.018</v>
      </c>
      <c r="I12" s="55" t="inlineStr">
        <is>
          <t>Scheda Ciao Elsa</t>
        </is>
      </c>
      <c r="J12" s="52" t="inlineStr">
        <is>
          <t>Comparto recente: rendimento solo a 5 anni.</t>
        </is>
      </c>
    </row>
    <row r="13">
      <c r="A13" s="39" t="str">
        <f>Sheet1!$A$6</f>
        <v>FONDO PENSIONE FIDEURAM FONDO PENSIONE APERTO</v>
      </c>
      <c r="B13" s="40" t="inlineStr">
        <is>
          <t>Crescita</t>
        </is>
      </c>
      <c r="C13" s="46" t="inlineStr">
        <is>
          <t>AZN</t>
        </is>
      </c>
      <c r="D13" s="47" t="n">
        <v>0.7837999999999999</v>
      </c>
      <c r="E13" s="47" t="n">
        <v>0.2162</v>
      </c>
      <c r="F13" s="47" t="n">
        <v>0.0501</v>
      </c>
      <c r="G13" s="48" t="n">
        <v>10</v>
      </c>
      <c r="H13" s="47" t="n">
        <v>0.02</v>
      </c>
      <c r="I13" s="56" t="inlineStr">
        <is>
          <t>Scheda Ciao Elsa</t>
        </is>
      </c>
      <c r="J13" s="53" t="n"/>
    </row>
    <row r="14">
      <c r="A14" s="37" t="str">
        <f>Sheet1!$A$6</f>
        <v>FONDO PENSIONE FIDEURAM FONDO PENSIONE APERTO</v>
      </c>
      <c r="B14" s="38" t="inlineStr">
        <is>
          <t>Valore</t>
        </is>
      </c>
      <c r="C14" s="43" t="inlineStr">
        <is>
          <t>AZN</t>
        </is>
      </c>
      <c r="D14" s="44" t="n">
        <v>0.5964</v>
      </c>
      <c r="E14" s="44" t="n">
        <v>0.4036</v>
      </c>
      <c r="F14" s="44" t="n">
        <v>0.0357</v>
      </c>
      <c r="G14" s="45" t="n">
        <v>10</v>
      </c>
      <c r="H14" s="44" t="n">
        <v>0.02</v>
      </c>
      <c r="I14" s="55" t="inlineStr">
        <is>
          <t>Scheda Ciao Elsa</t>
        </is>
      </c>
      <c r="J14" s="52" t="n"/>
    </row>
    <row r="15">
      <c r="A15" s="39" t="str">
        <f>Sheet1!$A$6</f>
        <v>FONDO PENSIONE FIDEURAM FONDO PENSIONE APERTO</v>
      </c>
      <c r="B15" s="40" t="inlineStr">
        <is>
          <t>Equilibrio</t>
        </is>
      </c>
      <c r="C15" s="46" t="inlineStr">
        <is>
          <t>BIL</t>
        </is>
      </c>
      <c r="D15" s="47" t="n">
        <v>0.3022</v>
      </c>
      <c r="E15" s="47" t="n">
        <v>0.6978</v>
      </c>
      <c r="F15" s="47" t="n">
        <v>0.0174</v>
      </c>
      <c r="G15" s="48" t="n">
        <v>10</v>
      </c>
      <c r="H15" s="47" t="n">
        <v>0.015</v>
      </c>
      <c r="I15" s="56" t="inlineStr">
        <is>
          <t>Scheda Ciao Elsa</t>
        </is>
      </c>
      <c r="J15" s="53" t="n"/>
    </row>
    <row r="16">
      <c r="A16" s="37" t="str">
        <f>Sheet1!$A$6</f>
        <v>FONDO PENSIONE FIDEURAM FONDO PENSIONE APERTO</v>
      </c>
      <c r="B16" s="38" t="inlineStr">
        <is>
          <t>Sicurezza</t>
        </is>
      </c>
      <c r="C16" s="43" t="inlineStr">
        <is>
          <t>OBB PURO</t>
        </is>
      </c>
      <c r="D16" s="44" t="n">
        <v>0</v>
      </c>
      <c r="E16" s="44" t="n">
        <v>1</v>
      </c>
      <c r="F16" s="44" t="n">
        <v>-0.004</v>
      </c>
      <c r="G16" s="45" t="n">
        <v>10</v>
      </c>
      <c r="H16" s="44" t="n">
        <v>0.013</v>
      </c>
      <c r="I16" s="55" t="inlineStr">
        <is>
          <t>Scheda Ciao Elsa</t>
        </is>
      </c>
      <c r="J16" s="52" t="n"/>
    </row>
    <row r="17">
      <c r="A17" s="39" t="str">
        <f>Sheet1!$A$6</f>
        <v>FONDO PENSIONE FIDEURAM FONDO PENSIONE APERTO</v>
      </c>
      <c r="B17" s="40" t="inlineStr">
        <is>
          <t>Garanzia</t>
        </is>
      </c>
      <c r="C17" s="46" t="inlineStr">
        <is>
          <t>OBB PURO</t>
        </is>
      </c>
      <c r="D17" s="47" t="n">
        <v>0</v>
      </c>
      <c r="E17" s="47" t="n">
        <v>1</v>
      </c>
      <c r="F17" s="47" t="n">
        <v>-0.0023</v>
      </c>
      <c r="G17" s="48" t="n">
        <v>10</v>
      </c>
      <c r="H17" s="47" t="n">
        <v>0.01</v>
      </c>
      <c r="I17" s="56" t="inlineStr">
        <is>
          <t>Scheda Ciao Elsa</t>
        </is>
      </c>
      <c r="J17" s="53" t="n"/>
    </row>
    <row r="18">
      <c r="A18" s="37" t="str">
        <f>Sheet1!$A$7</f>
        <v>GENERALI GLOBAL - FONDO PENSIONE APERTO A CONTRIBUZIONE DEFINITA</v>
      </c>
      <c r="B18" s="38" t="inlineStr">
        <is>
          <t>Azionario globale</t>
        </is>
      </c>
      <c r="C18" s="43" t="inlineStr">
        <is>
          <t>AZN</t>
        </is>
      </c>
      <c r="D18" s="44" t="n">
        <v>0.93</v>
      </c>
      <c r="E18" s="44" t="n">
        <v>0.07000000000000001</v>
      </c>
      <c r="F18" s="44" t="n">
        <v>0.0559</v>
      </c>
      <c r="G18" s="45" t="n">
        <v>10</v>
      </c>
      <c r="H18" s="44" t="n">
        <v>0.015</v>
      </c>
      <c r="I18" s="55" t="inlineStr">
        <is>
          <t>Scheda Ciao Elsa</t>
        </is>
      </c>
      <c r="J18" s="52" t="n"/>
    </row>
    <row r="19">
      <c r="A19" s="39" t="str">
        <f>Sheet1!$A$7</f>
        <v>GENERALI GLOBAL - FONDO PENSIONE APERTO A CONTRIBUZIONE DEFINITA</v>
      </c>
      <c r="B19" s="40" t="inlineStr">
        <is>
          <t>Multiasset</t>
        </is>
      </c>
      <c r="C19" s="46" t="inlineStr">
        <is>
          <t>BIL</t>
        </is>
      </c>
      <c r="D19" s="47" t="n">
        <v>0.28</v>
      </c>
      <c r="E19" s="47" t="n">
        <v>0.72</v>
      </c>
      <c r="F19" s="47" t="n">
        <v>0.0135</v>
      </c>
      <c r="G19" s="48" t="n">
        <v>10</v>
      </c>
      <c r="H19" s="47" t="n">
        <v>0.013</v>
      </c>
      <c r="I19" s="56" t="inlineStr">
        <is>
          <t>Scheda Ciao Elsa</t>
        </is>
      </c>
      <c r="J19" s="53" t="n"/>
    </row>
    <row r="20">
      <c r="A20" s="37" t="str">
        <f>Sheet1!$A$7</f>
        <v>GENERALI GLOBAL - FONDO PENSIONE APERTO A CONTRIBUZIONE DEFINITA</v>
      </c>
      <c r="B20" s="38" t="inlineStr">
        <is>
          <t>Real return</t>
        </is>
      </c>
      <c r="C20" s="43" t="inlineStr">
        <is>
          <t>OBB MISTO</t>
        </is>
      </c>
      <c r="D20" s="44" t="n">
        <v>0.11</v>
      </c>
      <c r="E20" s="44" t="n">
        <v>0.89</v>
      </c>
      <c r="F20" s="44" t="n">
        <v>0.0147</v>
      </c>
      <c r="G20" s="45" t="n">
        <v>5</v>
      </c>
      <c r="H20" s="44" t="n">
        <v>0.0095</v>
      </c>
      <c r="I20" s="55" t="inlineStr">
        <is>
          <t>Scheda Ciao Elsa</t>
        </is>
      </c>
      <c r="J20" s="52" t="inlineStr">
        <is>
          <t>Rendimento a 5 anni.</t>
        </is>
      </c>
    </row>
    <row r="21">
      <c r="A21" s="39" t="str">
        <f>Sheet1!$A$7</f>
        <v>GENERALI GLOBAL - FONDO PENSIONE APERTO A CONTRIBUZIONE DEFINITA</v>
      </c>
      <c r="B21" s="40" t="inlineStr">
        <is>
          <t>Obbligazionario breve termine</t>
        </is>
      </c>
      <c r="C21" s="46" t="inlineStr">
        <is>
          <t>OBB PURO</t>
        </is>
      </c>
      <c r="D21" s="47" t="n">
        <v>0</v>
      </c>
      <c r="E21" s="47" t="n">
        <v>1</v>
      </c>
      <c r="F21" s="47" t="n">
        <v>0.0001</v>
      </c>
      <c r="G21" s="48" t="n">
        <v>5</v>
      </c>
      <c r="H21" s="47" t="n">
        <v>0.008500000000000001</v>
      </c>
      <c r="I21" s="56" t="inlineStr">
        <is>
          <t>Scheda Ciao Elsa</t>
        </is>
      </c>
      <c r="J21" s="53" t="inlineStr">
        <is>
          <t>Rendimento a 5 anni.</t>
        </is>
      </c>
    </row>
    <row r="22">
      <c r="A22" s="37" t="str">
        <f>Sheet1!$A$7</f>
        <v>GENERALI GLOBAL - FONDO PENSIONE APERTO A CONTRIBUZIONE DEFINITA</v>
      </c>
      <c r="B22" s="38" t="inlineStr">
        <is>
          <t>Obbligazionario</t>
        </is>
      </c>
      <c r="C22" s="43" t="inlineStr">
        <is>
          <t>OBB PURO</t>
        </is>
      </c>
      <c r="D22" s="44" t="n">
        <v>0</v>
      </c>
      <c r="E22" s="44" t="n">
        <v>1</v>
      </c>
      <c r="F22" s="44" t="n">
        <v>0.0021</v>
      </c>
      <c r="G22" s="45" t="n">
        <v>10</v>
      </c>
      <c r="H22" s="44" t="n">
        <v>0.009000000000000001</v>
      </c>
      <c r="I22" s="55" t="inlineStr">
        <is>
          <t>Scheda Ciao Elsa</t>
        </is>
      </c>
      <c r="J22" s="52" t="n"/>
    </row>
    <row r="23">
      <c r="A23" s="39" t="str">
        <f>Sheet1!$A$9</f>
        <v>FONDO PENSIONE APERTO TESEO</v>
      </c>
      <c r="B23" s="40" t="inlineStr">
        <is>
          <t>Sviluppo etica</t>
        </is>
      </c>
      <c r="C23" s="46" t="inlineStr">
        <is>
          <t>AZN</t>
        </is>
      </c>
      <c r="D23" s="47" t="n">
        <v>0.89</v>
      </c>
      <c r="E23" s="47" t="n">
        <v>0.11</v>
      </c>
      <c r="F23" s="47" t="n">
        <v>0.0498</v>
      </c>
      <c r="G23" s="48" t="n">
        <v>10</v>
      </c>
      <c r="H23" s="47" t="n">
        <v>0.015</v>
      </c>
      <c r="I23" s="56" t="inlineStr">
        <is>
          <t>Scheda Ciao Elsa</t>
        </is>
      </c>
      <c r="J23" s="53" t="n"/>
    </row>
    <row r="24">
      <c r="A24" s="37" t="str">
        <f>Sheet1!$A$9</f>
        <v>FONDO PENSIONE APERTO TESEO</v>
      </c>
      <c r="B24" s="38" t="inlineStr">
        <is>
          <t>Bilanciata etica</t>
        </is>
      </c>
      <c r="C24" s="43" t="inlineStr">
        <is>
          <t>BIL</t>
        </is>
      </c>
      <c r="D24" s="44" t="n">
        <v>0.4</v>
      </c>
      <c r="E24" s="44" t="n">
        <v>0.6</v>
      </c>
      <c r="F24" s="44" t="n">
        <v>0.0188</v>
      </c>
      <c r="G24" s="45" t="n">
        <v>10</v>
      </c>
      <c r="H24" s="44" t="n">
        <v>0.013</v>
      </c>
      <c r="I24" s="55" t="inlineStr">
        <is>
          <t>Scheda Ciao Elsa</t>
        </is>
      </c>
      <c r="J24" s="52" t="n"/>
    </row>
    <row r="25">
      <c r="A25" s="39" t="str">
        <f>Sheet1!$A$9</f>
        <v>FONDO PENSIONE APERTO TESEO</v>
      </c>
      <c r="B25" s="40" t="inlineStr">
        <is>
          <t>Garantita etica</t>
        </is>
      </c>
      <c r="C25" s="46" t="inlineStr">
        <is>
          <t>OBB PURO</t>
        </is>
      </c>
      <c r="D25" s="47" t="n">
        <v>0</v>
      </c>
      <c r="E25" s="47" t="n">
        <v>1</v>
      </c>
      <c r="F25" s="47" t="n">
        <v>0.0051</v>
      </c>
      <c r="G25" s="48" t="n">
        <v>10</v>
      </c>
      <c r="H25" s="47" t="n">
        <v>0.006500000000000001</v>
      </c>
      <c r="I25" s="56" t="inlineStr">
        <is>
          <t>Scheda Ciao Elsa</t>
        </is>
      </c>
      <c r="J25" s="53" t="n"/>
    </row>
    <row r="26">
      <c r="A26" s="37" t="str">
        <f>Sheet1!$A$9</f>
        <v>FONDO PENSIONE APERTO TESEO</v>
      </c>
      <c r="B26" s="38" t="inlineStr">
        <is>
          <t>Prudenziale etica</t>
        </is>
      </c>
      <c r="C26" s="43" t="inlineStr">
        <is>
          <t>OBB PURO</t>
        </is>
      </c>
      <c r="D26" s="44" t="n">
        <v>0</v>
      </c>
      <c r="E26" s="44" t="n">
        <v>1</v>
      </c>
      <c r="F26" s="44" t="n">
        <v>-0.0054</v>
      </c>
      <c r="G26" s="45" t="n">
        <v>10</v>
      </c>
      <c r="H26" s="44" t="n">
        <v>0.01</v>
      </c>
      <c r="I26" s="55" t="inlineStr">
        <is>
          <t>Scheda Ciao Elsa</t>
        </is>
      </c>
      <c r="J26" s="52" t="n"/>
    </row>
    <row r="27">
      <c r="A27" s="39" t="str">
        <f>Sheet1!$A$10</f>
        <v>DESTINAZIONE FUTURO - FONDO PENSIONE APERTO BY CREDEMVITA</v>
      </c>
      <c r="B27" s="40" t="inlineStr">
        <is>
          <t>Evoluto</t>
        </is>
      </c>
      <c r="C27" s="46" t="inlineStr">
        <is>
          <t>AZN</t>
        </is>
      </c>
      <c r="D27" s="47" t="n">
        <v>0.9135</v>
      </c>
      <c r="E27" s="47" t="n">
        <v>0.08650000000000001</v>
      </c>
      <c r="F27" s="47" t="n">
        <v>0.0579</v>
      </c>
      <c r="G27" s="48" t="n">
        <v>10</v>
      </c>
      <c r="H27" s="47" t="n">
        <v>0.015</v>
      </c>
      <c r="I27" s="56" t="inlineStr">
        <is>
          <t>Scheda Ciao Elsa</t>
        </is>
      </c>
      <c r="J27" s="53" t="n"/>
    </row>
    <row r="28">
      <c r="A28" s="37" t="str">
        <f>Sheet1!$A$10</f>
        <v>DESTINAZIONE FUTURO - FONDO PENSIONE APERTO BY CREDEMVITA</v>
      </c>
      <c r="B28" s="38" t="inlineStr">
        <is>
          <t>Bilanciato</t>
        </is>
      </c>
      <c r="C28" s="43" t="inlineStr">
        <is>
          <t>BIL</t>
        </is>
      </c>
      <c r="D28" s="44" t="n">
        <v>0.5054</v>
      </c>
      <c r="E28" s="44" t="n">
        <v>0.4946</v>
      </c>
      <c r="F28" s="44" t="n">
        <v>0.0316</v>
      </c>
      <c r="G28" s="45" t="n">
        <v>10</v>
      </c>
      <c r="H28" s="44" t="n">
        <v>0.012</v>
      </c>
      <c r="I28" s="55" t="inlineStr">
        <is>
          <t>Scheda Ciao Elsa</t>
        </is>
      </c>
      <c r="J28" s="52" t="n"/>
    </row>
    <row r="29">
      <c r="A29" s="39" t="str">
        <f>Sheet1!$A$10</f>
        <v>DESTINAZIONE FUTURO - FONDO PENSIONE APERTO BY CREDEMVITA</v>
      </c>
      <c r="B29" s="40" t="inlineStr">
        <is>
          <t>Moderato</t>
        </is>
      </c>
      <c r="C29" s="46" t="inlineStr">
        <is>
          <t>BIL</t>
        </is>
      </c>
      <c r="D29" s="47" t="n">
        <v>0.3238</v>
      </c>
      <c r="E29" s="47" t="n">
        <v>0.6762</v>
      </c>
      <c r="F29" s="47" t="n">
        <v>0.0172</v>
      </c>
      <c r="G29" s="48" t="n">
        <v>10</v>
      </c>
      <c r="H29" s="47" t="n">
        <v>0.01</v>
      </c>
      <c r="I29" s="56" t="inlineStr">
        <is>
          <t>Scheda Ciao Elsa</t>
        </is>
      </c>
      <c r="J29" s="53" t="n"/>
    </row>
    <row r="30">
      <c r="A30" s="37" t="str">
        <f>Sheet1!$A$10</f>
        <v>DESTINAZIONE FUTURO - FONDO PENSIONE APERTO BY CREDEMVITA</v>
      </c>
      <c r="B30" s="38" t="inlineStr">
        <is>
          <t>Prudente garantito</t>
        </is>
      </c>
      <c r="C30" s="43" t="inlineStr">
        <is>
          <t>GAR</t>
        </is>
      </c>
      <c r="D30" s="44" t="n">
        <v>0.1066</v>
      </c>
      <c r="E30" s="44" t="n">
        <v>0.8934000000000001</v>
      </c>
      <c r="F30" s="44" t="n">
        <v>0.009000000000000001</v>
      </c>
      <c r="G30" s="45" t="n">
        <v>10</v>
      </c>
      <c r="H30" s="44" t="n">
        <v>0.011</v>
      </c>
      <c r="I30" s="55" t="inlineStr">
        <is>
          <t>Scheda Ciao Elsa</t>
        </is>
      </c>
      <c r="J30" s="52" t="n"/>
    </row>
    <row r="31">
      <c r="A31" s="39" t="str">
        <f>Sheet1!$A$11</f>
        <v>FONDO PENSIONE APERTO VITTORIA FORMULA LAVORO</v>
      </c>
      <c r="B31" s="40" t="inlineStr">
        <is>
          <t>Previdenza capitalizzata</t>
        </is>
      </c>
      <c r="C31" s="46" t="inlineStr">
        <is>
          <t>AZN</t>
        </is>
      </c>
      <c r="D31" s="47" t="n">
        <v>0.8101</v>
      </c>
      <c r="E31" s="47" t="n">
        <v>0.1899</v>
      </c>
      <c r="F31" s="47" t="n">
        <v>0.0387</v>
      </c>
      <c r="G31" s="48" t="n">
        <v>10</v>
      </c>
      <c r="H31" s="47" t="n">
        <v>0.0168</v>
      </c>
      <c r="I31" s="56" t="inlineStr">
        <is>
          <t>Scheda Ciao Elsa</t>
        </is>
      </c>
      <c r="J31" s="53" t="n"/>
    </row>
    <row r="32">
      <c r="A32" s="37" t="str">
        <f>Sheet1!$A$11</f>
        <v>FONDO PENSIONE APERTO VITTORIA FORMULA LAVORO</v>
      </c>
      <c r="B32" s="38" t="inlineStr">
        <is>
          <t>Previdenza bilanciato internazionale</t>
        </is>
      </c>
      <c r="C32" s="43" t="inlineStr">
        <is>
          <t>BIL</t>
        </is>
      </c>
      <c r="D32" s="44" t="n">
        <v>0.5004999999999999</v>
      </c>
      <c r="E32" s="44" t="n">
        <v>0.4995000000000001</v>
      </c>
      <c r="F32" s="44" t="n">
        <v>0.0484</v>
      </c>
      <c r="G32" s="45" t="n">
        <v>3</v>
      </c>
      <c r="H32" s="44" t="n">
        <v>0.01</v>
      </c>
      <c r="I32" s="55" t="inlineStr">
        <is>
          <t>Scheda Ciao Elsa</t>
        </is>
      </c>
      <c r="J32" s="52" t="inlineStr">
        <is>
          <t>Comparto recente (avvio 2022): rendimento a 3 anni.</t>
        </is>
      </c>
    </row>
    <row r="33">
      <c r="A33" s="39" t="str">
        <f>Sheet1!$A$11</f>
        <v>FONDO PENSIONE APERTO VITTORIA FORMULA LAVORO</v>
      </c>
      <c r="B33" s="40" t="inlineStr">
        <is>
          <t>Previdenza equilibrata</t>
        </is>
      </c>
      <c r="C33" s="46" t="inlineStr">
        <is>
          <t>BIL</t>
        </is>
      </c>
      <c r="D33" s="47" t="n">
        <v>0.417</v>
      </c>
      <c r="E33" s="47" t="n">
        <v>0.583</v>
      </c>
      <c r="F33" s="47" t="n">
        <v>0.0147</v>
      </c>
      <c r="G33" s="48" t="n">
        <v>10</v>
      </c>
      <c r="H33" s="47" t="n">
        <v>0.0132</v>
      </c>
      <c r="I33" s="56" t="inlineStr">
        <is>
          <t>Scheda Ciao Elsa</t>
        </is>
      </c>
      <c r="J33" s="53" t="n"/>
    </row>
    <row r="34">
      <c r="A34" s="37" t="str">
        <f>Sheet1!$A$11</f>
        <v>FONDO PENSIONE APERTO VITTORIA FORMULA LAVORO</v>
      </c>
      <c r="B34" s="38" t="inlineStr">
        <is>
          <t>Previdenza garantita</t>
        </is>
      </c>
      <c r="C34" s="43" t="inlineStr">
        <is>
          <t>OBB MISTO</t>
        </is>
      </c>
      <c r="D34" s="44" t="n">
        <v>0.1295</v>
      </c>
      <c r="E34" s="44" t="n">
        <v>0.8704999999999999</v>
      </c>
      <c r="F34" s="44" t="n">
        <v>-0.0017</v>
      </c>
      <c r="G34" s="45" t="n">
        <v>10</v>
      </c>
      <c r="H34" s="44" t="n">
        <v>0.01</v>
      </c>
      <c r="I34" s="55" t="inlineStr">
        <is>
          <t>Scheda Ciao Elsa</t>
        </is>
      </c>
      <c r="J34" s="52" t="n"/>
    </row>
    <row r="35">
      <c r="A35" s="39" t="str">
        <f>Sheet1!$A$16</f>
        <v>FONDO PENSIONE APERTO PREVIGEST FUND MEDIOLANUM</v>
      </c>
      <c r="B35" s="40" t="inlineStr">
        <is>
          <t>Azionario</t>
        </is>
      </c>
      <c r="C35" s="46" t="inlineStr">
        <is>
          <t>AZN</t>
        </is>
      </c>
      <c r="D35" s="47" t="n">
        <v>0.9</v>
      </c>
      <c r="E35" s="47" t="n">
        <v>0.1</v>
      </c>
      <c r="F35" s="47" t="n">
        <v>0.0447</v>
      </c>
      <c r="G35" s="48" t="n">
        <v>10</v>
      </c>
      <c r="H35" s="47" t="n">
        <v>0.02</v>
      </c>
      <c r="I35" s="56" t="inlineStr">
        <is>
          <t>Scheda Ciao Elsa</t>
        </is>
      </c>
      <c r="J35" s="53" t="n"/>
    </row>
    <row r="36">
      <c r="A36" s="37" t="str">
        <f>Sheet1!$A$16</f>
        <v>FONDO PENSIONE APERTO PREVIGEST FUND MEDIOLANUM</v>
      </c>
      <c r="B36" s="38" t="inlineStr">
        <is>
          <t>Bilanciato</t>
        </is>
      </c>
      <c r="C36" s="43" t="inlineStr">
        <is>
          <t>BIL</t>
        </is>
      </c>
      <c r="D36" s="44" t="n">
        <v>0.5</v>
      </c>
      <c r="E36" s="44" t="n">
        <v>0.5</v>
      </c>
      <c r="F36" s="44" t="n">
        <v>0.0228</v>
      </c>
      <c r="G36" s="45" t="n">
        <v>10</v>
      </c>
      <c r="H36" s="44" t="n">
        <v>0.0174</v>
      </c>
      <c r="I36" s="55" t="inlineStr">
        <is>
          <t>Scheda Ciao Elsa</t>
        </is>
      </c>
      <c r="J36" s="52" t="n"/>
    </row>
    <row r="37">
      <c r="A37" s="39" t="str">
        <f>Sheet1!$A$16</f>
        <v>FONDO PENSIONE APERTO PREVIGEST FUND MEDIOLANUM</v>
      </c>
      <c r="B37" s="40" t="inlineStr">
        <is>
          <t>Obbligazionario</t>
        </is>
      </c>
      <c r="C37" s="46" t="inlineStr">
        <is>
          <t>OBB MISTO</t>
        </is>
      </c>
      <c r="D37" s="47" t="n">
        <v>0.05</v>
      </c>
      <c r="E37" s="47" t="n">
        <v>0.95</v>
      </c>
      <c r="F37" s="47" t="n">
        <v>-0.0043</v>
      </c>
      <c r="G37" s="48" t="n">
        <v>10</v>
      </c>
      <c r="H37" s="47" t="n">
        <v>0.015</v>
      </c>
      <c r="I37" s="56" t="inlineStr">
        <is>
          <t>Scheda Ciao Elsa</t>
        </is>
      </c>
      <c r="J37" s="53" t="n"/>
    </row>
    <row r="38">
      <c r="A38" s="37" t="str">
        <f>Sheet1!$A$17</f>
        <v>FONDO PENSIONE APERTO ZURICH CONTRIBUTION</v>
      </c>
      <c r="B38" s="38" t="inlineStr">
        <is>
          <t>Dinamica</t>
        </is>
      </c>
      <c r="C38" s="43" t="inlineStr">
        <is>
          <t>AZN</t>
        </is>
      </c>
      <c r="D38" s="44" t="n">
        <v>0.6919</v>
      </c>
      <c r="E38" s="44" t="n">
        <v>0.3081</v>
      </c>
      <c r="F38" s="44" t="n">
        <v>0.0398</v>
      </c>
      <c r="G38" s="45" t="n">
        <v>10</v>
      </c>
      <c r="H38" s="44" t="n">
        <v>0.0105</v>
      </c>
      <c r="I38" s="55" t="inlineStr">
        <is>
          <t>Scheda Ciao Elsa</t>
        </is>
      </c>
      <c r="J38" s="52" t="n"/>
    </row>
    <row r="39">
      <c r="A39" s="39" t="str">
        <f>Sheet1!$A$17</f>
        <v>FONDO PENSIONE APERTO ZURICH CONTRIBUTION</v>
      </c>
      <c r="B39" s="40" t="inlineStr">
        <is>
          <t>Garantita</t>
        </is>
      </c>
      <c r="C39" s="46" t="inlineStr">
        <is>
          <t>OBB PURO</t>
        </is>
      </c>
      <c r="D39" s="47" t="n">
        <v>0</v>
      </c>
      <c r="E39" s="47" t="n">
        <v>1</v>
      </c>
      <c r="F39" s="47" t="n">
        <v>-0.0034</v>
      </c>
      <c r="G39" s="48" t="n">
        <v>10</v>
      </c>
      <c r="H39" s="47" t="n">
        <v>0.009000000000000001</v>
      </c>
      <c r="I39" s="56" t="inlineStr">
        <is>
          <t>Scheda Ciao Elsa</t>
        </is>
      </c>
      <c r="J39" s="53" t="n"/>
    </row>
    <row r="40">
      <c r="A40" s="37" t="str">
        <f>Sheet1!$A$17</f>
        <v>FONDO PENSIONE APERTO ZURICH CONTRIBUTION</v>
      </c>
      <c r="B40" s="38" t="inlineStr">
        <is>
          <t>Conservativa</t>
        </is>
      </c>
      <c r="C40" s="43" t="inlineStr">
        <is>
          <t>OBB PURO</t>
        </is>
      </c>
      <c r="D40" s="44" t="n">
        <v>0</v>
      </c>
      <c r="E40" s="44" t="n">
        <v>1</v>
      </c>
      <c r="F40" s="44" t="n">
        <v>-0.007900000000000001</v>
      </c>
      <c r="G40" s="45" t="n">
        <v>10</v>
      </c>
      <c r="H40" s="44" t="n">
        <v>0.0095</v>
      </c>
      <c r="I40" s="55" t="inlineStr">
        <is>
          <t>Scheda Ciao Elsa</t>
        </is>
      </c>
      <c r="J40" s="52" t="n"/>
    </row>
    <row r="41">
      <c r="A41" s="39" t="str">
        <f>Sheet1!$A$18</f>
        <v>ZED OMNIFUND - FONDO PENSIONE APERTO</v>
      </c>
      <c r="B41" s="40" t="inlineStr">
        <is>
          <t>Azionaria</t>
        </is>
      </c>
      <c r="C41" s="46" t="inlineStr">
        <is>
          <t>AZN</t>
        </is>
      </c>
      <c r="D41" s="47" t="n">
        <v>0.9237</v>
      </c>
      <c r="E41" s="47" t="n">
        <v>0.07629999999999999</v>
      </c>
      <c r="F41" s="47" t="n">
        <v>0.05019999999999999</v>
      </c>
      <c r="G41" s="48" t="n">
        <v>10</v>
      </c>
      <c r="H41" s="47" t="n">
        <v>0.0222</v>
      </c>
      <c r="I41" s="56" t="inlineStr">
        <is>
          <t>Scheda Ciao Elsa</t>
        </is>
      </c>
      <c r="J41" s="53" t="n"/>
    </row>
    <row r="42">
      <c r="A42" s="37" t="str">
        <f>Sheet1!$A$18</f>
        <v>ZED OMNIFUND - FONDO PENSIONE APERTO</v>
      </c>
      <c r="B42" s="38" t="inlineStr">
        <is>
          <t>Bilanciata 65</t>
        </is>
      </c>
      <c r="C42" s="43" t="inlineStr">
        <is>
          <t>AZN</t>
        </is>
      </c>
      <c r="D42" s="44" t="n">
        <v>0.7058</v>
      </c>
      <c r="E42" s="44" t="n">
        <v>0.2942</v>
      </c>
      <c r="F42" s="44" t="n">
        <v>0.0357</v>
      </c>
      <c r="G42" s="45" t="n">
        <v>10</v>
      </c>
      <c r="H42" s="44" t="n">
        <v>0.018</v>
      </c>
      <c r="I42" s="55" t="inlineStr">
        <is>
          <t>Scheda Ciao Elsa</t>
        </is>
      </c>
      <c r="J42" s="52" t="inlineStr">
        <is>
          <t>Ciao Elsa la classifica AZN (70,6% azioni).</t>
        </is>
      </c>
    </row>
    <row r="43">
      <c r="A43" s="39" t="str">
        <f>Sheet1!$A$18</f>
        <v>ZED OMNIFUND - FONDO PENSIONE APERTO</v>
      </c>
      <c r="B43" s="40" t="inlineStr">
        <is>
          <t>Bilanciata 30</t>
        </is>
      </c>
      <c r="C43" s="46" t="inlineStr">
        <is>
          <t>BIL</t>
        </is>
      </c>
      <c r="D43" s="47" t="n">
        <v>0.3124</v>
      </c>
      <c r="E43" s="47" t="n">
        <v>0.6876000000000001</v>
      </c>
      <c r="F43" s="47" t="n">
        <v>0.0132</v>
      </c>
      <c r="G43" s="48" t="n">
        <v>10</v>
      </c>
      <c r="H43" s="47" t="n">
        <v>0.0138</v>
      </c>
      <c r="I43" s="56" t="inlineStr">
        <is>
          <t>Scheda Ciao Elsa</t>
        </is>
      </c>
      <c r="J43" s="53" t="n"/>
    </row>
    <row r="44">
      <c r="A44" s="37" t="str">
        <f>Sheet1!$A$18</f>
        <v>ZED OMNIFUND - FONDO PENSIONE APERTO</v>
      </c>
      <c r="B44" s="38" t="inlineStr">
        <is>
          <t>Obbligazionaria</t>
        </is>
      </c>
      <c r="C44" s="43" t="inlineStr">
        <is>
          <t>OBB PURO</t>
        </is>
      </c>
      <c r="D44" s="44" t="n">
        <v>0</v>
      </c>
      <c r="E44" s="44" t="n">
        <v>1</v>
      </c>
      <c r="F44" s="44" t="n">
        <v>-0.005600000000000001</v>
      </c>
      <c r="G44" s="45" t="n">
        <v>10</v>
      </c>
      <c r="H44" s="44" t="n">
        <v>0.009000000000000001</v>
      </c>
      <c r="I44" s="55" t="inlineStr">
        <is>
          <t>Scheda Ciao Elsa</t>
        </is>
      </c>
      <c r="J44" s="52" t="n"/>
    </row>
    <row r="45" ht="26.25" customHeight="1">
      <c r="A45" s="39" t="str">
        <f>Sheet1!$A$18</f>
        <v>ZED OMNIFUND - FONDO PENSIONE APERTO</v>
      </c>
      <c r="B45" s="40" t="inlineStr">
        <is>
          <t>Garantita</t>
        </is>
      </c>
      <c r="C45" s="46" t="inlineStr">
        <is>
          <t>OBB MISTO</t>
        </is>
      </c>
      <c r="D45" s="47" t="n">
        <v>0</v>
      </c>
      <c r="E45" s="47" t="n">
        <v>1</v>
      </c>
      <c r="F45" s="47" t="n">
        <v>-0.0106</v>
      </c>
      <c r="G45" s="48" t="n">
        <v>10</v>
      </c>
      <c r="H45" s="47" t="n">
        <v>0.018</v>
      </c>
      <c r="I45" s="56" t="inlineStr">
        <is>
          <t>Scheda Ciao Elsa</t>
        </is>
      </c>
      <c r="J45" s="53" t="inlineStr">
        <is>
          <t>Commissione elevata (1,80%) per un comparto garantito, con rendimento 10a negativo.</t>
        </is>
      </c>
    </row>
    <row r="46">
      <c r="A46" s="37" t="str">
        <f>Sheet1!$A$19</f>
        <v>PLURIFONDS IL FONDO PENSIONE APERTO DI ITAS VITA</v>
      </c>
      <c r="B46" s="38" t="inlineStr">
        <is>
          <t>Activitas</t>
        </is>
      </c>
      <c r="C46" s="43" t="inlineStr">
        <is>
          <t>AZN</t>
        </is>
      </c>
      <c r="D46" s="44" t="n">
        <v>0.68</v>
      </c>
      <c r="E46" s="44" t="n">
        <v>0.32</v>
      </c>
      <c r="F46" s="44" t="n">
        <v>0.0425</v>
      </c>
      <c r="G46" s="45" t="n">
        <v>10</v>
      </c>
      <c r="H46" s="44" t="n">
        <v>0.015</v>
      </c>
      <c r="I46" s="55" t="inlineStr">
        <is>
          <t>Scheda Ciao Elsa</t>
        </is>
      </c>
      <c r="J46" s="52" t="n"/>
    </row>
    <row r="47">
      <c r="A47" s="39" t="str">
        <f>Sheet1!$A$19</f>
        <v>PLURIFONDS IL FONDO PENSIONE APERTO DI ITAS VITA</v>
      </c>
      <c r="B47" s="40" t="inlineStr">
        <is>
          <t>Soliditas</t>
        </is>
      </c>
      <c r="C47" s="46" t="inlineStr">
        <is>
          <t>BIL</t>
        </is>
      </c>
      <c r="D47" s="47" t="n">
        <v>0.49</v>
      </c>
      <c r="E47" s="47" t="n">
        <v>0.51</v>
      </c>
      <c r="F47" s="47" t="n">
        <v>0.032</v>
      </c>
      <c r="G47" s="48" t="n">
        <v>10</v>
      </c>
      <c r="H47" s="47" t="n">
        <v>0.0115</v>
      </c>
      <c r="I47" s="56" t="inlineStr">
        <is>
          <t>Scheda Ciao Elsa</t>
        </is>
      </c>
      <c r="J47" s="53" t="n"/>
    </row>
    <row r="48">
      <c r="A48" s="37" t="str">
        <f>Sheet1!$A$19</f>
        <v>PLURIFONDS IL FONDO PENSIONE APERTO DI ITAS VITA</v>
      </c>
      <c r="B48" s="38" t="inlineStr">
        <is>
          <t>Aequitas</t>
        </is>
      </c>
      <c r="C48" s="43" t="inlineStr">
        <is>
          <t>BIL</t>
        </is>
      </c>
      <c r="D48" s="44" t="n">
        <v>0.29</v>
      </c>
      <c r="E48" s="44" t="n">
        <v>0.71</v>
      </c>
      <c r="F48" s="44" t="n">
        <v>0.014</v>
      </c>
      <c r="G48" s="45" t="n">
        <v>10</v>
      </c>
      <c r="H48" s="44" t="n">
        <v>0.0105</v>
      </c>
      <c r="I48" s="55" t="inlineStr">
        <is>
          <t>Scheda Ciao Elsa</t>
        </is>
      </c>
      <c r="J48" s="52" t="n"/>
    </row>
    <row r="49">
      <c r="A49" s="39" t="str">
        <f>Sheet1!$A$19</f>
        <v>PLURIFONDS IL FONDO PENSIONE APERTO DI ITAS VITA</v>
      </c>
      <c r="B49" s="40" t="inlineStr">
        <is>
          <t>Serenitas</t>
        </is>
      </c>
      <c r="C49" s="46" t="inlineStr">
        <is>
          <t>OBB MISTO</t>
        </is>
      </c>
      <c r="D49" s="47" t="n">
        <v>0.1</v>
      </c>
      <c r="E49" s="47" t="n">
        <v>0.9</v>
      </c>
      <c r="F49" s="47" t="n">
        <v>0.0077</v>
      </c>
      <c r="G49" s="48" t="n">
        <v>10</v>
      </c>
      <c r="H49" s="47" t="n">
        <v>0.008</v>
      </c>
      <c r="I49" s="56" t="inlineStr">
        <is>
          <t>Scheda Ciao Elsa</t>
        </is>
      </c>
      <c r="J49" s="53" t="n"/>
    </row>
    <row r="50">
      <c r="A50" s="37" t="str">
        <f>Sheet1!$A$19</f>
        <v>PLURIFONDS IL FONDO PENSIONE APERTO DI ITAS VITA</v>
      </c>
      <c r="B50" s="38" t="inlineStr">
        <is>
          <t>Securitas</t>
        </is>
      </c>
      <c r="C50" s="43" t="inlineStr">
        <is>
          <t>OBB MISTO</t>
        </is>
      </c>
      <c r="D50" s="44" t="n">
        <v>0.05</v>
      </c>
      <c r="E50" s="44" t="n">
        <v>0.95</v>
      </c>
      <c r="F50" s="44" t="n">
        <v>0.0025</v>
      </c>
      <c r="G50" s="45" t="n">
        <v>10</v>
      </c>
      <c r="H50" s="44" t="n">
        <v>0.01</v>
      </c>
      <c r="I50" s="55" t="inlineStr">
        <is>
          <t>Scheda Ciao Elsa</t>
        </is>
      </c>
      <c r="J50" s="52" t="n"/>
    </row>
    <row r="51">
      <c r="A51" s="39" t="str">
        <f>Sheet1!$A$20</f>
        <v>EURORISPARMIO PREVIDENZA COMPLEMENTARE FONDO PENSIONE APERTO</v>
      </c>
      <c r="B51" s="40" t="inlineStr">
        <is>
          <t>Azionario Europa</t>
        </is>
      </c>
      <c r="C51" s="46" t="inlineStr">
        <is>
          <t>AZN</t>
        </is>
      </c>
      <c r="D51" s="47" t="n">
        <v>0.7635</v>
      </c>
      <c r="E51" s="47" t="n">
        <v>0.2365</v>
      </c>
      <c r="F51" s="47" t="n">
        <v>0.0507</v>
      </c>
      <c r="G51" s="48" t="n">
        <v>10</v>
      </c>
      <c r="H51" s="47" t="n">
        <v>0.014</v>
      </c>
      <c r="I51" s="56" t="inlineStr">
        <is>
          <t>Scheda Ciao Elsa</t>
        </is>
      </c>
      <c r="J51" s="53" t="n"/>
    </row>
    <row r="52">
      <c r="A52" s="37" t="str">
        <f>Sheet1!$A$20</f>
        <v>EURORISPARMIO PREVIDENZA COMPLEMENTARE FONDO PENSIONE APERTO</v>
      </c>
      <c r="B52" s="38" t="inlineStr">
        <is>
          <t>Azionario internazionale</t>
        </is>
      </c>
      <c r="C52" s="43" t="inlineStr">
        <is>
          <t>AZN</t>
        </is>
      </c>
      <c r="D52" s="44" t="n">
        <v>0.7392</v>
      </c>
      <c r="E52" s="44" t="n">
        <v>0.2608</v>
      </c>
      <c r="F52" s="44" t="n">
        <v>0.0603</v>
      </c>
      <c r="G52" s="45" t="n">
        <v>10</v>
      </c>
      <c r="H52" s="44" t="n">
        <v>0.014</v>
      </c>
      <c r="I52" s="55" t="inlineStr">
        <is>
          <t>Scheda Ciao Elsa</t>
        </is>
      </c>
      <c r="J52" s="52" t="n"/>
    </row>
    <row r="53">
      <c r="A53" s="39" t="str">
        <f>Sheet1!$A$20</f>
        <v>EURORISPARMIO PREVIDENZA COMPLEMENTARE FONDO PENSIONE APERTO</v>
      </c>
      <c r="B53" s="40" t="inlineStr">
        <is>
          <t>Bilanciato</t>
        </is>
      </c>
      <c r="C53" s="46" t="inlineStr">
        <is>
          <t>BIL</t>
        </is>
      </c>
      <c r="D53" s="47" t="n">
        <v>0.3628</v>
      </c>
      <c r="E53" s="47" t="n">
        <v>0.6372</v>
      </c>
      <c r="F53" s="47" t="n">
        <v>0.022</v>
      </c>
      <c r="G53" s="48" t="n">
        <v>10</v>
      </c>
      <c r="H53" s="47" t="n">
        <v>0.012</v>
      </c>
      <c r="I53" s="56" t="inlineStr">
        <is>
          <t>Scheda Ciao Elsa</t>
        </is>
      </c>
      <c r="J53" s="53" t="n"/>
    </row>
    <row r="54">
      <c r="A54" s="37" t="str">
        <f>Sheet1!$A$20</f>
        <v>EURORISPARMIO PREVIDENZA COMPLEMENTARE FONDO PENSIONE APERTO</v>
      </c>
      <c r="B54" s="38" t="inlineStr">
        <is>
          <t>Obbligazionario garantito</t>
        </is>
      </c>
      <c r="C54" s="43" t="inlineStr">
        <is>
          <t>OBB PURO</t>
        </is>
      </c>
      <c r="D54" s="44" t="n">
        <v>0.0375</v>
      </c>
      <c r="E54" s="44" t="n">
        <v>0.9625</v>
      </c>
      <c r="F54" s="44" t="n">
        <v>0.008</v>
      </c>
      <c r="G54" s="45" t="n">
        <v>10</v>
      </c>
      <c r="H54" s="44" t="n">
        <v>0.006</v>
      </c>
      <c r="I54" s="55" t="inlineStr">
        <is>
          <t>Scheda Ciao Elsa</t>
        </is>
      </c>
      <c r="J54" s="52" t="n"/>
    </row>
    <row r="55">
      <c r="A55" s="39" t="str">
        <f>Sheet1!$A$20</f>
        <v>EURORISPARMIO PREVIDENZA COMPLEMENTARE FONDO PENSIONE APERTO</v>
      </c>
      <c r="B55" s="40" t="inlineStr">
        <is>
          <t>Obbligazionario</t>
        </is>
      </c>
      <c r="C55" s="46" t="inlineStr">
        <is>
          <t>OBB PURO</t>
        </is>
      </c>
      <c r="D55" s="47" t="n">
        <v>0</v>
      </c>
      <c r="E55" s="47" t="n">
        <v>1</v>
      </c>
      <c r="F55" s="47" t="n">
        <v>0.0039</v>
      </c>
      <c r="G55" s="48" t="n">
        <v>10</v>
      </c>
      <c r="H55" s="47" t="n">
        <v>0.008</v>
      </c>
      <c r="I55" s="56" t="inlineStr">
        <is>
          <t>Scheda Ciao Elsa</t>
        </is>
      </c>
      <c r="J55" s="53" t="n"/>
    </row>
    <row r="56" ht="26.25" customHeight="1">
      <c r="A56" s="37" t="str">
        <f>Sheet1!$A$21</f>
        <v>FONDO PENSIONE APERTO AUREO</v>
      </c>
      <c r="B56" s="38" t="inlineStr">
        <is>
          <t>Garantito ESG</t>
        </is>
      </c>
      <c r="C56" s="43" t="inlineStr">
        <is>
          <t>OBB PURO</t>
        </is>
      </c>
      <c r="D56" s="44" t="n">
        <v>1</v>
      </c>
      <c r="E56" s="44" t="n">
        <v>0</v>
      </c>
      <c r="F56" s="44" t="n">
        <v>0.0025</v>
      </c>
      <c r="G56" s="45" t="n">
        <v>10</v>
      </c>
      <c r="H56" s="44" t="n">
        <v>0.005</v>
      </c>
      <c r="I56" s="55" t="inlineStr">
        <is>
          <t>Scheda Ciao Elsa</t>
        </is>
      </c>
      <c r="J56" s="58" t="inlineStr">
        <is>
          <t>Da verificare: Ciao Elsa indica 100% azioni / 0% obbligazioni per un comparto garantito, quasi certamente dati invertiti.</t>
        </is>
      </c>
    </row>
    <row r="57" ht="26.25" customHeight="1">
      <c r="A57" s="39" t="str">
        <f>Sheet1!$A$21</f>
        <v>FONDO PENSIONE APERTO AUREO</v>
      </c>
      <c r="B57" s="40" t="inlineStr">
        <is>
          <t>Prudente ESG</t>
        </is>
      </c>
      <c r="C57" s="46" t="inlineStr">
        <is>
          <t>OBB PURO</t>
        </is>
      </c>
      <c r="D57" s="47" t="n">
        <v>1</v>
      </c>
      <c r="E57" s="47" t="n">
        <v>0</v>
      </c>
      <c r="F57" s="47" t="n">
        <v>0.0216</v>
      </c>
      <c r="G57" s="48" t="n">
        <v>3</v>
      </c>
      <c r="H57" s="47" t="n">
        <v>0.005</v>
      </c>
      <c r="I57" s="56" t="inlineStr">
        <is>
          <t>Scheda Ciao Elsa</t>
        </is>
      </c>
      <c r="J57" s="58" t="inlineStr">
        <is>
          <t>Da verificare: 100% azioni per un comparto prudente (probabile inversione). Rendimento solo a 3 anni (comparto recente).</t>
        </is>
      </c>
    </row>
    <row r="58">
      <c r="A58" s="37" t="str">
        <f>Sheet1!$A$21</f>
        <v>FONDO PENSIONE APERTO AUREO</v>
      </c>
      <c r="B58" s="38" t="inlineStr">
        <is>
          <t>Azionario ESG</t>
        </is>
      </c>
      <c r="C58" s="43" t="inlineStr">
        <is>
          <t>AZN</t>
        </is>
      </c>
      <c r="D58" s="44" t="n">
        <v>0.9277</v>
      </c>
      <c r="E58" s="44" t="n">
        <v>0.0723</v>
      </c>
      <c r="F58" s="44" t="n">
        <v>0.0617</v>
      </c>
      <c r="G58" s="45" t="n">
        <v>10</v>
      </c>
      <c r="H58" s="44" t="n">
        <v>0.015</v>
      </c>
      <c r="I58" s="55" t="inlineStr">
        <is>
          <t>Scheda Ciao Elsa</t>
        </is>
      </c>
      <c r="J58" s="52" t="n"/>
    </row>
    <row r="59">
      <c r="A59" s="39" t="str">
        <f>Sheet1!$A$21</f>
        <v>FONDO PENSIONE APERTO AUREO</v>
      </c>
      <c r="B59" s="40" t="inlineStr">
        <is>
          <t>Bilanciato ESG</t>
        </is>
      </c>
      <c r="C59" s="46" t="inlineStr">
        <is>
          <t>BIL</t>
        </is>
      </c>
      <c r="D59" s="47" t="n">
        <v>0.4574</v>
      </c>
      <c r="E59" s="47" t="n">
        <v>0.5426</v>
      </c>
      <c r="F59" s="47" t="n">
        <v>0.0311</v>
      </c>
      <c r="G59" s="48" t="n">
        <v>10</v>
      </c>
      <c r="H59" s="47" t="n">
        <v>0.012</v>
      </c>
      <c r="I59" s="56" t="inlineStr">
        <is>
          <t>Scheda Ciao Elsa</t>
        </is>
      </c>
      <c r="J59" s="53" t="n"/>
    </row>
    <row r="60">
      <c r="A60" s="37" t="str">
        <f>Sheet1!$A$21</f>
        <v>FONDO PENSIONE APERTO AUREO</v>
      </c>
      <c r="B60" s="38" t="inlineStr">
        <is>
          <t>Obbligazionario ESG</t>
        </is>
      </c>
      <c r="C60" s="43" t="inlineStr">
        <is>
          <t>OBB MISTO</t>
        </is>
      </c>
      <c r="D60" s="44" t="n">
        <v>0</v>
      </c>
      <c r="E60" s="44" t="n">
        <v>1</v>
      </c>
      <c r="F60" s="44" t="n">
        <v>-0.0038</v>
      </c>
      <c r="G60" s="45" t="n">
        <v>10</v>
      </c>
      <c r="H60" s="44" t="n">
        <v>0.009000000000000001</v>
      </c>
      <c r="I60" s="55" t="inlineStr">
        <is>
          <t>Scheda Ciao Elsa</t>
        </is>
      </c>
      <c r="J60" s="52" t="n"/>
    </row>
    <row r="61">
      <c r="A61" s="39" t="str">
        <f>Sheet1!$A$22</f>
        <v>FONDO PENSIONE APERTO CREDIT AGRICOLE VITA</v>
      </c>
      <c r="B61" s="40" t="inlineStr">
        <is>
          <t>Linea dinamica</t>
        </is>
      </c>
      <c r="C61" s="46" t="inlineStr">
        <is>
          <t>AZN</t>
        </is>
      </c>
      <c r="D61" s="47" t="n">
        <v>0.7664</v>
      </c>
      <c r="E61" s="47" t="n">
        <v>0.2336</v>
      </c>
      <c r="F61" s="47" t="n">
        <v>0.05690000000000001</v>
      </c>
      <c r="G61" s="48" t="n">
        <v>10</v>
      </c>
      <c r="H61" s="47" t="n">
        <v>0.014</v>
      </c>
      <c r="I61" s="56" t="inlineStr">
        <is>
          <t>Scheda Ciao Elsa</t>
        </is>
      </c>
      <c r="J61" s="53" t="n"/>
    </row>
    <row r="62">
      <c r="A62" s="37" t="str">
        <f>Sheet1!$A$22</f>
        <v>FONDO PENSIONE APERTO CREDIT AGRICOLE VITA</v>
      </c>
      <c r="B62" s="38" t="inlineStr">
        <is>
          <t>Linea moderata</t>
        </is>
      </c>
      <c r="C62" s="43" t="inlineStr">
        <is>
          <t>BIL</t>
        </is>
      </c>
      <c r="D62" s="44" t="n">
        <v>0.5175</v>
      </c>
      <c r="E62" s="44" t="n">
        <v>0.4825</v>
      </c>
      <c r="F62" s="44" t="n">
        <v>0.0337</v>
      </c>
      <c r="G62" s="45" t="n">
        <v>10</v>
      </c>
      <c r="H62" s="44" t="n">
        <v>0.012</v>
      </c>
      <c r="I62" s="55" t="inlineStr">
        <is>
          <t>Scheda Ciao Elsa</t>
        </is>
      </c>
      <c r="J62" s="52" t="n"/>
    </row>
    <row r="63">
      <c r="A63" s="39" t="str">
        <f>Sheet1!$A$22</f>
        <v>FONDO PENSIONE APERTO CREDIT AGRICOLE VITA</v>
      </c>
      <c r="B63" s="40" t="inlineStr">
        <is>
          <t>Linea garantita</t>
        </is>
      </c>
      <c r="C63" s="46" t="inlineStr">
        <is>
          <t>BIL</t>
        </is>
      </c>
      <c r="D63" s="47" t="n">
        <v>0.1625</v>
      </c>
      <c r="E63" s="47" t="n">
        <v>0.8375</v>
      </c>
      <c r="F63" s="47" t="n">
        <v>0.008199999999999999</v>
      </c>
      <c r="G63" s="48" t="n">
        <v>10</v>
      </c>
      <c r="H63" s="47" t="n">
        <v>0.0115</v>
      </c>
      <c r="I63" s="56" t="inlineStr">
        <is>
          <t>Scheda Ciao Elsa</t>
        </is>
      </c>
      <c r="J63" s="53" t="inlineStr">
        <is>
          <t>Ciao Elsa la classifica BIL (16% azioni).</t>
        </is>
      </c>
    </row>
    <row r="64" ht="26.25" customHeight="1">
      <c r="A64" s="37" t="str">
        <f>Sheet1!$A$23</f>
        <v>ARTI &amp; MESTIERI - FONDO PENSIONE APERTO</v>
      </c>
      <c r="B64" s="38" t="inlineStr">
        <is>
          <t>Garanzia 1+</t>
        </is>
      </c>
      <c r="C64" s="43" t="inlineStr">
        <is>
          <t>OBB PURO</t>
        </is>
      </c>
      <c r="D64" s="44" t="n">
        <v>1</v>
      </c>
      <c r="E64" s="44" t="n">
        <v>0</v>
      </c>
      <c r="F64" s="44" t="n">
        <v>0.0021</v>
      </c>
      <c r="G64" s="45" t="n">
        <v>10</v>
      </c>
      <c r="H64" s="44" t="n">
        <v>0.006</v>
      </c>
      <c r="I64" s="55" t="inlineStr">
        <is>
          <t>Scheda Ciao Elsa</t>
        </is>
      </c>
      <c r="J64" s="58" t="inlineStr">
        <is>
          <t>Da verificare: 100% azioni per un comparto garantito, probabile inversione dei dati su Ciao Elsa.</t>
        </is>
      </c>
    </row>
    <row r="65">
      <c r="A65" s="39" t="str">
        <f>Sheet1!$A$23</f>
        <v>ARTI &amp; MESTIERI - FONDO PENSIONE APERTO</v>
      </c>
      <c r="B65" s="40" t="inlineStr">
        <is>
          <t>Crescita 25+</t>
        </is>
      </c>
      <c r="C65" s="46" t="inlineStr">
        <is>
          <t>AZN</t>
        </is>
      </c>
      <c r="D65" s="47" t="n">
        <v>0.8225</v>
      </c>
      <c r="E65" s="47" t="n">
        <v>0.1775</v>
      </c>
      <c r="F65" s="47" t="n">
        <v>0.06059999999999999</v>
      </c>
      <c r="G65" s="48" t="n">
        <v>10</v>
      </c>
      <c r="H65" s="47" t="n">
        <v>0.016</v>
      </c>
      <c r="I65" s="56" t="inlineStr">
        <is>
          <t>Scheda Ciao Elsa</t>
        </is>
      </c>
      <c r="J65" s="53" t="n"/>
    </row>
    <row r="66">
      <c r="A66" s="37" t="str">
        <f>Sheet1!$A$23</f>
        <v>ARTI &amp; MESTIERI - FONDO PENSIONE APERTO</v>
      </c>
      <c r="B66" s="38" t="inlineStr">
        <is>
          <t>Rivalutazione 10+</t>
        </is>
      </c>
      <c r="C66" s="43" t="inlineStr">
        <is>
          <t>BIL</t>
        </is>
      </c>
      <c r="D66" s="44" t="n">
        <v>0.4156</v>
      </c>
      <c r="E66" s="44" t="n">
        <v>0.5844</v>
      </c>
      <c r="F66" s="44" t="n">
        <v>0.0261</v>
      </c>
      <c r="G66" s="45" t="n">
        <v>10</v>
      </c>
      <c r="H66" s="44" t="n">
        <v>0.014</v>
      </c>
      <c r="I66" s="55" t="inlineStr">
        <is>
          <t>Scheda Ciao Elsa</t>
        </is>
      </c>
      <c r="J66" s="52" t="n"/>
    </row>
    <row r="67">
      <c r="A67" s="39" t="str">
        <f>Sheet1!$A$23</f>
        <v>ARTI &amp; MESTIERI - FONDO PENSIONE APERTO</v>
      </c>
      <c r="B67" s="40" t="inlineStr">
        <is>
          <t>Equilibrio 5+</t>
        </is>
      </c>
      <c r="C67" s="46" t="inlineStr">
        <is>
          <t>BIL</t>
        </is>
      </c>
      <c r="D67" s="47" t="n">
        <v>0.2109</v>
      </c>
      <c r="E67" s="47" t="n">
        <v>0.7890999999999999</v>
      </c>
      <c r="F67" s="47" t="n">
        <v>0.0123</v>
      </c>
      <c r="G67" s="48" t="n">
        <v>10</v>
      </c>
      <c r="H67" s="47" t="n">
        <v>0.011</v>
      </c>
      <c r="I67" s="56" t="inlineStr">
        <is>
          <t>Scheda Ciao Elsa</t>
        </is>
      </c>
      <c r="J67" s="53" t="n"/>
    </row>
    <row r="68">
      <c r="A68" s="37" t="str">
        <f>Sheet1!$A$23</f>
        <v>ARTI &amp; MESTIERI - FONDO PENSIONE APERTO</v>
      </c>
      <c r="B68" s="38" t="inlineStr">
        <is>
          <t>Incremento e garanzia 5+</t>
        </is>
      </c>
      <c r="C68" s="43" t="inlineStr">
        <is>
          <t>BIL</t>
        </is>
      </c>
      <c r="D68" s="44" t="n">
        <v>0.1937</v>
      </c>
      <c r="E68" s="44" t="n">
        <v>0.8062999999999999</v>
      </c>
      <c r="F68" s="44" t="n">
        <v>0.0163</v>
      </c>
      <c r="G68" s="45" t="n">
        <v>10</v>
      </c>
      <c r="H68" s="44" t="n">
        <v>0.006999999999999999</v>
      </c>
      <c r="I68" s="55" t="inlineStr">
        <is>
          <t>Scheda Ciao Elsa</t>
        </is>
      </c>
      <c r="J68" s="52" t="n"/>
    </row>
    <row r="69">
      <c r="A69" s="39" t="str">
        <f>Sheet1!$A$23</f>
        <v>ARTI &amp; MESTIERI - FONDO PENSIONE APERTO</v>
      </c>
      <c r="B69" s="40" t="inlineStr">
        <is>
          <t>Conservazione 3+</t>
        </is>
      </c>
      <c r="C69" s="46" t="inlineStr">
        <is>
          <t>OBB PURO</t>
        </is>
      </c>
      <c r="D69" s="47" t="n">
        <v>0</v>
      </c>
      <c r="E69" s="47" t="n">
        <v>1</v>
      </c>
      <c r="F69" s="47" t="n">
        <v>-0.0021</v>
      </c>
      <c r="G69" s="48" t="n">
        <v>10</v>
      </c>
      <c r="H69" s="47" t="n">
        <v>0.009000000000000001</v>
      </c>
      <c r="I69" s="56" t="inlineStr">
        <is>
          <t>Scheda Ciao Elsa</t>
        </is>
      </c>
      <c r="J69" s="53" t="n"/>
    </row>
    <row r="70">
      <c r="A70" s="37" t="str">
        <f>Sheet1!$A$24</f>
        <v>SECONDAPENSIONE FONDO PENSIONE APERTO</v>
      </c>
      <c r="B70" s="38" t="inlineStr">
        <is>
          <t>Espansione ESG</t>
        </is>
      </c>
      <c r="C70" s="43" t="inlineStr">
        <is>
          <t>AZN</t>
        </is>
      </c>
      <c r="D70" s="44" t="n">
        <v>0.8100000000000001</v>
      </c>
      <c r="E70" s="44" t="n">
        <v>0.19</v>
      </c>
      <c r="F70" s="44" t="n">
        <v>0.0536</v>
      </c>
      <c r="G70" s="45" t="n">
        <v>10</v>
      </c>
      <c r="H70" s="44" t="n">
        <v>0.008</v>
      </c>
      <c r="I70" s="55" t="inlineStr">
        <is>
          <t>Scheda Ciao Elsa</t>
        </is>
      </c>
      <c r="J70" s="52" t="n"/>
    </row>
    <row r="71">
      <c r="A71" s="39" t="str">
        <f>Sheet1!$A$24</f>
        <v>SECONDAPENSIONE FONDO PENSIONE APERTO</v>
      </c>
      <c r="B71" s="40" t="inlineStr">
        <is>
          <t>Sviluppo ESG</t>
        </is>
      </c>
      <c r="C71" s="46" t="inlineStr">
        <is>
          <t>BIL</t>
        </is>
      </c>
      <c r="D71" s="47" t="n">
        <v>0.52</v>
      </c>
      <c r="E71" s="47" t="n">
        <v>0.48</v>
      </c>
      <c r="F71" s="47" t="n">
        <v>0.0354</v>
      </c>
      <c r="G71" s="48" t="n">
        <v>10</v>
      </c>
      <c r="H71" s="47" t="n">
        <v>0.006999999999999999</v>
      </c>
      <c r="I71" s="56" t="inlineStr">
        <is>
          <t>Scheda Ciao Elsa</t>
        </is>
      </c>
      <c r="J71" s="53" t="n"/>
    </row>
    <row r="72">
      <c r="A72" s="37" t="str">
        <f>Sheet1!$A$24</f>
        <v>SECONDAPENSIONE FONDO PENSIONE APERTO</v>
      </c>
      <c r="B72" s="38" t="inlineStr">
        <is>
          <t>Bilanciata ESG</t>
        </is>
      </c>
      <c r="C72" s="43" t="inlineStr">
        <is>
          <t>BIL</t>
        </is>
      </c>
      <c r="D72" s="44" t="n">
        <v>0.31</v>
      </c>
      <c r="E72" s="44" t="n">
        <v>0.6899999999999999</v>
      </c>
      <c r="F72" s="44" t="n">
        <v>0.0227</v>
      </c>
      <c r="G72" s="45" t="n">
        <v>10</v>
      </c>
      <c r="H72" s="44" t="n">
        <v>0.006500000000000001</v>
      </c>
      <c r="I72" s="55" t="inlineStr">
        <is>
          <t>Scheda Ciao Elsa</t>
        </is>
      </c>
      <c r="J72" s="52" t="n"/>
    </row>
    <row r="73">
      <c r="A73" s="39" t="str">
        <f>Sheet1!$A$24</f>
        <v>SECONDAPENSIONE FONDO PENSIONE APERTO</v>
      </c>
      <c r="B73" s="40" t="inlineStr">
        <is>
          <t>Prudente ESG</t>
        </is>
      </c>
      <c r="C73" s="46" t="inlineStr">
        <is>
          <t>OBB MISTO</t>
        </is>
      </c>
      <c r="D73" s="47" t="n">
        <v>0.18</v>
      </c>
      <c r="E73" s="47" t="n">
        <v>0.82</v>
      </c>
      <c r="F73" s="47" t="n">
        <v>0.0098</v>
      </c>
      <c r="G73" s="48" t="n">
        <v>10</v>
      </c>
      <c r="H73" s="47" t="n">
        <v>0.006</v>
      </c>
      <c r="I73" s="56" t="inlineStr">
        <is>
          <t>Scheda Ciao Elsa</t>
        </is>
      </c>
      <c r="J73" s="53" t="n"/>
    </row>
    <row r="74">
      <c r="A74" s="37" t="str">
        <f>Sheet1!$A$24</f>
        <v>SECONDAPENSIONE FONDO PENSIONE APERTO</v>
      </c>
      <c r="B74" s="38" t="inlineStr">
        <is>
          <t>Garantita ESG</t>
        </is>
      </c>
      <c r="C74" s="43" t="inlineStr">
        <is>
          <t>GAR</t>
        </is>
      </c>
      <c r="D74" s="44" t="n">
        <v>0.05</v>
      </c>
      <c r="E74" s="44" t="n">
        <v>0.95</v>
      </c>
      <c r="F74" s="44" t="n">
        <v>0.0053</v>
      </c>
      <c r="G74" s="45" t="n">
        <v>10</v>
      </c>
      <c r="H74" s="44" t="n">
        <v>0.006999999999999999</v>
      </c>
      <c r="I74" s="55" t="inlineStr">
        <is>
          <t>Scheda Ciao Elsa</t>
        </is>
      </c>
      <c r="J74" s="52" t="n"/>
    </row>
    <row r="75">
      <c r="A75" s="39" t="str">
        <f>Sheet1!$A$26</f>
        <v>PROGRAMMA OPEN FONDO PENSIONE APERTO</v>
      </c>
      <c r="B75" s="40" t="inlineStr">
        <is>
          <t>Bilanciato etico</t>
        </is>
      </c>
      <c r="C75" s="46" t="inlineStr">
        <is>
          <t>BIL</t>
        </is>
      </c>
      <c r="D75" s="47" t="n">
        <v>0.5600000000000001</v>
      </c>
      <c r="E75" s="47" t="n">
        <v>0.44</v>
      </c>
      <c r="F75" s="47" t="n">
        <v>0.022</v>
      </c>
      <c r="G75" s="48" t="n">
        <v>10</v>
      </c>
      <c r="H75" s="47" t="n">
        <v>0.013</v>
      </c>
      <c r="I75" s="56" t="inlineStr">
        <is>
          <t>Scheda Ciao Elsa</t>
        </is>
      </c>
      <c r="J75" s="53" t="inlineStr">
        <is>
          <t>Vedi nota sul comparto prevalentemente azionario: % forse invertite.</t>
        </is>
      </c>
    </row>
    <row r="76" ht="26.25" customHeight="1">
      <c r="A76" s="37" t="str">
        <f>Sheet1!$A$26</f>
        <v>PROGRAMMA OPEN FONDO PENSIONE APERTO</v>
      </c>
      <c r="B76" s="38" t="inlineStr">
        <is>
          <t>Prevalentemente azionario etico</t>
        </is>
      </c>
      <c r="C76" s="43" t="inlineStr">
        <is>
          <t>AZN</t>
        </is>
      </c>
      <c r="D76" s="44" t="n">
        <v>0.3</v>
      </c>
      <c r="E76" s="44" t="n">
        <v>0.7</v>
      </c>
      <c r="F76" s="44" t="n">
        <v>0.0392</v>
      </c>
      <c r="G76" s="45" t="n">
        <v>10</v>
      </c>
      <c r="H76" s="44" t="n">
        <v>0.015</v>
      </c>
      <c r="I76" s="55" t="inlineStr">
        <is>
          <t>Scheda Ciao Elsa</t>
        </is>
      </c>
      <c r="J76" s="58" t="inlineStr">
        <is>
          <t>Da verificare: 30% azioni per un comparto prevalentemente azionario, mentre il bilanciato ne ha 56%. Le percentuali dei due comparti sembrano invertite.</t>
        </is>
      </c>
    </row>
    <row r="77" ht="26.25" customHeight="1">
      <c r="A77" s="39" t="str">
        <f>Sheet1!$A$26</f>
        <v>PROGRAMMA OPEN FONDO PENSIONE APERTO</v>
      </c>
      <c r="B77" s="40" t="inlineStr">
        <is>
          <t>Nuovo obbligazionario etico</t>
        </is>
      </c>
      <c r="C77" s="46" t="inlineStr">
        <is>
          <t>OBB MISTO</t>
        </is>
      </c>
      <c r="D77" s="47" t="n">
        <v>0.05</v>
      </c>
      <c r="E77" s="47" t="n">
        <v>0.95</v>
      </c>
      <c r="F77" s="47" t="n"/>
      <c r="G77" s="48" t="n"/>
      <c r="H77" s="47" t="n"/>
      <c r="I77" s="56" t="inlineStr">
        <is>
          <t>Scheda Ciao Elsa</t>
        </is>
      </c>
      <c r="J77" s="53" t="inlineStr">
        <is>
          <t>Ciao Elsa non riporta rendimento né commissione. La commissione minima del fondo indicata da Ciao Elsa (1,10%) potrebbe riferirsi a questo comparto.</t>
        </is>
      </c>
    </row>
    <row r="78">
      <c r="A78" s="37" t="str">
        <f>Sheet1!$A$28</f>
        <v>AZIMUT PREVIDENZA - FONDO PENSIONE APERTO</v>
      </c>
      <c r="B78" s="38" t="inlineStr">
        <is>
          <t>Crescita</t>
        </is>
      </c>
      <c r="C78" s="43" t="inlineStr">
        <is>
          <t>AZN</t>
        </is>
      </c>
      <c r="D78" s="44" t="n">
        <v>0.86</v>
      </c>
      <c r="E78" s="44" t="n">
        <v>0.14</v>
      </c>
      <c r="F78" s="44" t="n">
        <v>0.0338</v>
      </c>
      <c r="G78" s="45" t="n">
        <v>10</v>
      </c>
      <c r="H78" s="44" t="n">
        <v>0.018</v>
      </c>
      <c r="I78" s="55" t="inlineStr">
        <is>
          <t>Scheda Ciao Elsa</t>
        </is>
      </c>
      <c r="J78" s="52" t="n"/>
    </row>
    <row r="79">
      <c r="A79" s="39" t="str">
        <f>Sheet1!$A$28</f>
        <v>AZIMUT PREVIDENZA - FONDO PENSIONE APERTO</v>
      </c>
      <c r="B79" s="40" t="inlineStr">
        <is>
          <t>Equilibrato</t>
        </is>
      </c>
      <c r="C79" s="46" t="inlineStr">
        <is>
          <t>BIL</t>
        </is>
      </c>
      <c r="D79" s="47" t="n">
        <v>0.59</v>
      </c>
      <c r="E79" s="47" t="n">
        <v>0.41</v>
      </c>
      <c r="F79" s="47" t="n">
        <v>0.0277</v>
      </c>
      <c r="G79" s="48" t="n">
        <v>10</v>
      </c>
      <c r="H79" s="47" t="n">
        <v>0.015</v>
      </c>
      <c r="I79" s="56" t="inlineStr">
        <is>
          <t>Scheda Ciao Elsa</t>
        </is>
      </c>
      <c r="J79" s="53" t="n"/>
    </row>
    <row r="80">
      <c r="A80" s="37" t="str">
        <f>Sheet1!$A$28</f>
        <v>AZIMUT PREVIDENZA - FONDO PENSIONE APERTO</v>
      </c>
      <c r="B80" s="38" t="inlineStr">
        <is>
          <t>Obbligazionario</t>
        </is>
      </c>
      <c r="C80" s="43" t="inlineStr">
        <is>
          <t>OBB PURO</t>
        </is>
      </c>
      <c r="D80" s="44" t="n">
        <v>0</v>
      </c>
      <c r="E80" s="44" t="n">
        <v>1</v>
      </c>
      <c r="F80" s="44" t="n">
        <v>0.0114</v>
      </c>
      <c r="G80" s="45" t="n">
        <v>10</v>
      </c>
      <c r="H80" s="44" t="n">
        <v>0.01</v>
      </c>
      <c r="I80" s="55" t="inlineStr">
        <is>
          <t>Scheda Ciao Elsa</t>
        </is>
      </c>
      <c r="J80" s="52" t="n"/>
    </row>
    <row r="81">
      <c r="A81" s="39" t="str">
        <f>Sheet1!$A$29</f>
        <v>AZIONE DI PREVIDENZA - FONDO PENSIONE APERTO</v>
      </c>
      <c r="B81" s="40" t="inlineStr">
        <is>
          <t>Dinamica</t>
        </is>
      </c>
      <c r="C81" s="46" t="inlineStr">
        <is>
          <t>AZN</t>
        </is>
      </c>
      <c r="D81" s="47" t="n">
        <v>0.86</v>
      </c>
      <c r="E81" s="47" t="n">
        <v>0.14</v>
      </c>
      <c r="F81" s="47" t="n">
        <v>0.0529</v>
      </c>
      <c r="G81" s="48" t="n">
        <v>10</v>
      </c>
      <c r="H81" s="47" t="n">
        <v>0.018</v>
      </c>
      <c r="I81" s="56" t="inlineStr">
        <is>
          <t>Scheda Ciao Elsa</t>
        </is>
      </c>
      <c r="J81" s="53" t="n"/>
    </row>
    <row r="82">
      <c r="A82" s="37" t="str">
        <f>Sheet1!$A$29</f>
        <v>AZIONE DI PREVIDENZA - FONDO PENSIONE APERTO</v>
      </c>
      <c r="B82" s="38" t="inlineStr">
        <is>
          <t>Equilibrata</t>
        </is>
      </c>
      <c r="C82" s="43" t="inlineStr">
        <is>
          <t>BIL</t>
        </is>
      </c>
      <c r="D82" s="44" t="n">
        <v>0.42</v>
      </c>
      <c r="E82" s="44" t="n">
        <v>0.58</v>
      </c>
      <c r="F82" s="44" t="n">
        <v>0.0291</v>
      </c>
      <c r="G82" s="45" t="n">
        <v>10</v>
      </c>
      <c r="H82" s="44" t="n">
        <v>0.014</v>
      </c>
      <c r="I82" s="55" t="inlineStr">
        <is>
          <t>Scheda Ciao Elsa</t>
        </is>
      </c>
      <c r="J82" s="52" t="n"/>
    </row>
    <row r="83">
      <c r="A83" s="39" t="str">
        <f>Sheet1!$A$29</f>
        <v>AZIONE DI PREVIDENZA - FONDO PENSIONE APERTO</v>
      </c>
      <c r="B83" s="40" t="inlineStr">
        <is>
          <t>Garantita</t>
        </is>
      </c>
      <c r="C83" s="46" t="inlineStr">
        <is>
          <t>OBB PURO</t>
        </is>
      </c>
      <c r="D83" s="47" t="n">
        <v>0.04</v>
      </c>
      <c r="E83" s="47" t="n">
        <v>0.96</v>
      </c>
      <c r="F83" s="47" t="n">
        <v>0.0141</v>
      </c>
      <c r="G83" s="48" t="n">
        <v>10</v>
      </c>
      <c r="H83" s="47" t="n">
        <v>0.006999999999999999</v>
      </c>
      <c r="I83" s="56" t="inlineStr">
        <is>
          <t>Scheda Ciao Elsa</t>
        </is>
      </c>
      <c r="J83" s="53" t="n"/>
    </row>
    <row r="84">
      <c r="A84" s="37" t="str">
        <f>Sheet1!$A$29</f>
        <v>AZIONE DI PREVIDENZA - FONDO PENSIONE APERTO</v>
      </c>
      <c r="B84" s="38" t="inlineStr">
        <is>
          <t>Prudente</t>
        </is>
      </c>
      <c r="C84" s="43" t="inlineStr">
        <is>
          <t>OBB PURO</t>
        </is>
      </c>
      <c r="D84" s="44" t="n">
        <v>0</v>
      </c>
      <c r="E84" s="44" t="n">
        <v>1</v>
      </c>
      <c r="F84" s="44" t="n">
        <v>0.0109</v>
      </c>
      <c r="G84" s="45" t="n">
        <v>10</v>
      </c>
      <c r="H84" s="44" t="n">
        <v>0.01</v>
      </c>
      <c r="I84" s="55" t="inlineStr">
        <is>
          <t>Scheda Ciao Elsa</t>
        </is>
      </c>
      <c r="J84" s="52" t="n"/>
    </row>
    <row r="85" ht="26.25" customHeight="1">
      <c r="A85" s="39" t="str">
        <f>Sheet1!$A$30</f>
        <v>FONDO PENSIONE APERTO CNP</v>
      </c>
      <c r="B85" s="40" t="inlineStr">
        <is>
          <t>Garanzia restituzione capitale</t>
        </is>
      </c>
      <c r="C85" s="46" t="inlineStr">
        <is>
          <t>OBB MISTO</t>
        </is>
      </c>
      <c r="D85" s="47" t="n">
        <v>0.95</v>
      </c>
      <c r="E85" s="47" t="n">
        <v>0.05</v>
      </c>
      <c r="F85" s="47" t="n">
        <v>0.008</v>
      </c>
      <c r="G85" s="48" t="n">
        <v>10</v>
      </c>
      <c r="H85" s="47" t="n">
        <v>0.011</v>
      </c>
      <c r="I85" s="56" t="inlineStr">
        <is>
          <t>Scheda Ciao Elsa</t>
        </is>
      </c>
      <c r="J85" s="58" t="inlineStr">
        <is>
          <t>Da verificare: 95% azioni per un comparto con garanzia, probabile inversione (atteso circa 5% azioni).</t>
        </is>
      </c>
    </row>
    <row r="86">
      <c r="A86" s="37" t="str">
        <f>Sheet1!$A$30</f>
        <v>FONDO PENSIONE APERTO CNP</v>
      </c>
      <c r="B86" s="38" t="inlineStr">
        <is>
          <t>Azionario</t>
        </is>
      </c>
      <c r="C86" s="43" t="inlineStr">
        <is>
          <t>AZN</t>
        </is>
      </c>
      <c r="D86" s="44" t="n">
        <v>0.67</v>
      </c>
      <c r="E86" s="44" t="n">
        <v>0.33</v>
      </c>
      <c r="F86" s="44" t="n">
        <v>0.0395</v>
      </c>
      <c r="G86" s="45" t="n">
        <v>10</v>
      </c>
      <c r="H86" s="44" t="n">
        <v>0.012</v>
      </c>
      <c r="I86" s="55" t="inlineStr">
        <is>
          <t>Scheda Ciao Elsa</t>
        </is>
      </c>
      <c r="J86" s="52" t="n"/>
    </row>
    <row r="87">
      <c r="A87" s="39" t="str">
        <f>Sheet1!$A$30</f>
        <v>FONDO PENSIONE APERTO CNP</v>
      </c>
      <c r="B87" s="40" t="inlineStr">
        <is>
          <t>Bilanciato</t>
        </is>
      </c>
      <c r="C87" s="46" t="inlineStr">
        <is>
          <t>BIL</t>
        </is>
      </c>
      <c r="D87" s="47" t="n">
        <v>0.32</v>
      </c>
      <c r="E87" s="47" t="n">
        <v>0.68</v>
      </c>
      <c r="F87" s="47" t="n">
        <v>0.0172</v>
      </c>
      <c r="G87" s="48" t="n">
        <v>10</v>
      </c>
      <c r="H87" s="47" t="n">
        <v>0.01</v>
      </c>
      <c r="I87" s="56" t="inlineStr">
        <is>
          <t>Scheda Ciao Elsa</t>
        </is>
      </c>
      <c r="J87" s="53" t="n"/>
    </row>
    <row r="88">
      <c r="A88" s="37" t="str">
        <f>Sheet1!$A$30</f>
        <v>FONDO PENSIONE APERTO CNP</v>
      </c>
      <c r="B88" s="38" t="inlineStr">
        <is>
          <t>Obbligazionario</t>
        </is>
      </c>
      <c r="C88" s="43" t="inlineStr">
        <is>
          <t>OBB MISTO</t>
        </is>
      </c>
      <c r="D88" s="44" t="n">
        <v>0.16</v>
      </c>
      <c r="E88" s="44" t="n">
        <v>0.84</v>
      </c>
      <c r="F88" s="44" t="n">
        <v>0.008199999999999999</v>
      </c>
      <c r="G88" s="45" t="n">
        <v>10</v>
      </c>
      <c r="H88" s="44" t="n">
        <v>0.009000000000000001</v>
      </c>
      <c r="I88" s="55" t="inlineStr">
        <is>
          <t>Scheda Ciao Elsa</t>
        </is>
      </c>
      <c r="J88" s="52" t="n"/>
    </row>
    <row r="89">
      <c r="A89" s="39" t="str">
        <f>Sheet1!$A$30</f>
        <v>FONDO PENSIONE APERTO CNP</v>
      </c>
      <c r="B89" s="40" t="inlineStr">
        <is>
          <t>Garanzia di rendimento minimo</t>
        </is>
      </c>
      <c r="C89" s="46" t="inlineStr">
        <is>
          <t>OBB MISTO</t>
        </is>
      </c>
      <c r="D89" s="47" t="n">
        <v>0.05</v>
      </c>
      <c r="E89" s="47" t="n">
        <v>0.95</v>
      </c>
      <c r="F89" s="47" t="n">
        <v>0.0062</v>
      </c>
      <c r="G89" s="48" t="n">
        <v>10</v>
      </c>
      <c r="H89" s="47" t="n">
        <v>0.013</v>
      </c>
      <c r="I89" s="56" t="inlineStr">
        <is>
          <t>Scheda Ciao Elsa</t>
        </is>
      </c>
      <c r="J89" s="53" t="n"/>
    </row>
    <row r="90">
      <c r="A90" s="37" t="str">
        <f>Sheet1!$A$31</f>
        <v>INSIEME - FONDO PENSIONE APERTO A CONTRIBUZIONE DEFINITA</v>
      </c>
      <c r="B90" s="38" t="inlineStr">
        <is>
          <t>Linea azionaria</t>
        </is>
      </c>
      <c r="C90" s="43" t="inlineStr">
        <is>
          <t>AZN</t>
        </is>
      </c>
      <c r="D90" s="44" t="n">
        <v>0.9399999999999999</v>
      </c>
      <c r="E90" s="44" t="n">
        <v>0.06</v>
      </c>
      <c r="F90" s="44" t="n">
        <v>0.07480000000000001</v>
      </c>
      <c r="G90" s="45" t="n">
        <v>10</v>
      </c>
      <c r="H90" s="44" t="n">
        <v>0.008</v>
      </c>
      <c r="I90" s="55" t="inlineStr">
        <is>
          <t>Scheda Ciao Elsa</t>
        </is>
      </c>
      <c r="J90" s="52" t="n"/>
    </row>
    <row r="91">
      <c r="A91" s="39" t="str">
        <f>Sheet1!$A$31</f>
        <v>INSIEME - FONDO PENSIONE APERTO A CONTRIBUZIONE DEFINITA</v>
      </c>
      <c r="B91" s="40" t="inlineStr">
        <is>
          <t>Linea bilanciata</t>
        </is>
      </c>
      <c r="C91" s="46" t="inlineStr">
        <is>
          <t>AZN</t>
        </is>
      </c>
      <c r="D91" s="47" t="n">
        <v>0.5</v>
      </c>
      <c r="E91" s="47" t="n">
        <v>0.5</v>
      </c>
      <c r="F91" s="47" t="n">
        <v>0.0409</v>
      </c>
      <c r="G91" s="48" t="n">
        <v>10</v>
      </c>
      <c r="H91" s="47" t="n">
        <v>0.0075</v>
      </c>
      <c r="I91" s="56" t="inlineStr">
        <is>
          <t>Scheda Ciao Elsa</t>
        </is>
      </c>
      <c r="J91" s="53" t="inlineStr">
        <is>
          <t>Ciao Elsa la classifica AZN pur con 50% azioni.</t>
        </is>
      </c>
    </row>
    <row r="92">
      <c r="A92" s="37" t="str">
        <f>Sheet1!$A$31</f>
        <v>INSIEME - FONDO PENSIONE APERTO A CONTRIBUZIONE DEFINITA</v>
      </c>
      <c r="B92" s="38" t="inlineStr">
        <is>
          <t>Linea obbligazionaria</t>
        </is>
      </c>
      <c r="C92" s="43" t="inlineStr">
        <is>
          <t>OBB MISTO</t>
        </is>
      </c>
      <c r="D92" s="44" t="n">
        <v>0.1</v>
      </c>
      <c r="E92" s="44" t="n">
        <v>0.9</v>
      </c>
      <c r="F92" s="44" t="n">
        <v>0.0083</v>
      </c>
      <c r="G92" s="45" t="n">
        <v>10</v>
      </c>
      <c r="H92" s="44" t="n">
        <v>0.006999999999999999</v>
      </c>
      <c r="I92" s="55" t="inlineStr">
        <is>
          <t>Scheda Ciao Elsa</t>
        </is>
      </c>
      <c r="J92" s="52" t="n"/>
    </row>
    <row r="93">
      <c r="A93" s="39" t="str">
        <f>Sheet1!$A$31</f>
        <v>INSIEME - FONDO PENSIONE APERTO A CONTRIBUZIONE DEFINITA</v>
      </c>
      <c r="B93" s="40" t="inlineStr">
        <is>
          <t>Linea flessibile</t>
        </is>
      </c>
      <c r="C93" s="46" t="inlineStr">
        <is>
          <t>OBB PURO</t>
        </is>
      </c>
      <c r="D93" s="47" t="n">
        <v>0.02</v>
      </c>
      <c r="E93" s="47" t="n">
        <v>0.98</v>
      </c>
      <c r="F93" s="47" t="n">
        <v>0.0014</v>
      </c>
      <c r="G93" s="48" t="n">
        <v>10</v>
      </c>
      <c r="H93" s="47" t="n">
        <v>0.006</v>
      </c>
      <c r="I93" s="56" t="inlineStr">
        <is>
          <t>Scheda Ciao Elsa</t>
        </is>
      </c>
      <c r="J93" s="53" t="n"/>
    </row>
    <row r="94">
      <c r="A94" s="37" t="str">
        <f>Sheet1!$A$31</f>
        <v>INSIEME - FONDO PENSIONE APERTO A CONTRIBUZIONE DEFINITA</v>
      </c>
      <c r="B94" s="38" t="inlineStr">
        <is>
          <t>Linea obbligazionaria lungo termine</t>
        </is>
      </c>
      <c r="C94" s="43" t="inlineStr">
        <is>
          <t>OBB PURO</t>
        </is>
      </c>
      <c r="D94" s="44" t="n">
        <v>0</v>
      </c>
      <c r="E94" s="44" t="n">
        <v>1</v>
      </c>
      <c r="F94" s="44" t="n">
        <v>-0.002</v>
      </c>
      <c r="G94" s="45" t="n">
        <v>10</v>
      </c>
      <c r="H94" s="44" t="n">
        <v>0.006999999999999999</v>
      </c>
      <c r="I94" s="55" t="inlineStr">
        <is>
          <t>Scheda Ciao Elsa</t>
        </is>
      </c>
      <c r="J94" s="52" t="n"/>
    </row>
    <row r="95">
      <c r="A95" s="39" t="str">
        <f>Sheet1!$A$31</f>
        <v>INSIEME - FONDO PENSIONE APERTO A CONTRIBUZIONE DEFINITA</v>
      </c>
      <c r="B95" s="40" t="inlineStr">
        <is>
          <t>Linea obbligazionaria breve termine</t>
        </is>
      </c>
      <c r="C95" s="46" t="inlineStr">
        <is>
          <t>OBB PURO</t>
        </is>
      </c>
      <c r="D95" s="47" t="n">
        <v>0</v>
      </c>
      <c r="E95" s="47" t="n">
        <v>1</v>
      </c>
      <c r="F95" s="47" t="n">
        <v>0.0037</v>
      </c>
      <c r="G95" s="48" t="n">
        <v>5</v>
      </c>
      <c r="H95" s="47" t="n">
        <v>0.005500000000000001</v>
      </c>
      <c r="I95" s="56" t="inlineStr">
        <is>
          <t>Scheda Ciao Elsa</t>
        </is>
      </c>
      <c r="J95" s="53" t="inlineStr">
        <is>
          <t>Rendimento a 5 anni.</t>
        </is>
      </c>
    </row>
    <row r="96">
      <c r="A96" s="37" t="str">
        <f>Sheet1!$A$32</f>
        <v>FONDO PENSIONE APERTO BIM VITA</v>
      </c>
      <c r="B96" s="38" t="inlineStr">
        <is>
          <t>Equity</t>
        </is>
      </c>
      <c r="C96" s="43" t="inlineStr">
        <is>
          <t>AZN</t>
        </is>
      </c>
      <c r="D96" s="44" t="n">
        <v>0.8323999999999999</v>
      </c>
      <c r="E96" s="44" t="n">
        <v>0.1676</v>
      </c>
      <c r="F96" s="44" t="n">
        <v>0.05019999999999999</v>
      </c>
      <c r="G96" s="45" t="n">
        <v>10</v>
      </c>
      <c r="H96" s="44" t="n">
        <v>0.018</v>
      </c>
      <c r="I96" s="55" t="inlineStr">
        <is>
          <t>Scheda Ciao Elsa</t>
        </is>
      </c>
      <c r="J96" s="52" t="n"/>
    </row>
    <row r="97">
      <c r="A97" s="39" t="str">
        <f>Sheet1!$A$32</f>
        <v>FONDO PENSIONE APERTO BIM VITA</v>
      </c>
      <c r="B97" s="40" t="inlineStr">
        <is>
          <t>Bilanciata globale</t>
        </is>
      </c>
      <c r="C97" s="46" t="inlineStr">
        <is>
          <t>BIL</t>
        </is>
      </c>
      <c r="D97" s="47" t="n">
        <v>0.5184000000000001</v>
      </c>
      <c r="E97" s="47" t="n">
        <v>0.4816</v>
      </c>
      <c r="F97" s="47" t="n">
        <v>0.0337</v>
      </c>
      <c r="G97" s="48" t="n">
        <v>10</v>
      </c>
      <c r="H97" s="47" t="n">
        <v>0.015</v>
      </c>
      <c r="I97" s="56" t="inlineStr">
        <is>
          <t>Scheda Ciao Elsa</t>
        </is>
      </c>
      <c r="J97" s="53" t="n"/>
    </row>
    <row r="98">
      <c r="A98" s="37" t="str">
        <f>Sheet1!$A$32</f>
        <v>FONDO PENSIONE APERTO BIM VITA</v>
      </c>
      <c r="B98" s="38" t="inlineStr">
        <is>
          <t>Equilibrio</t>
        </is>
      </c>
      <c r="C98" s="43" t="inlineStr">
        <is>
          <t>BIL</t>
        </is>
      </c>
      <c r="D98" s="44" t="n">
        <v>0.1563</v>
      </c>
      <c r="E98" s="44" t="n">
        <v>0.8437</v>
      </c>
      <c r="F98" s="44" t="n">
        <v>0.0078</v>
      </c>
      <c r="G98" s="45" t="n">
        <v>10</v>
      </c>
      <c r="H98" s="44" t="n">
        <v>0.014</v>
      </c>
      <c r="I98" s="55" t="inlineStr">
        <is>
          <t>Scheda Ciao Elsa</t>
        </is>
      </c>
      <c r="J98" s="52" t="n"/>
    </row>
    <row r="99">
      <c r="A99" s="39" t="str">
        <f>Sheet1!$A$32</f>
        <v>FONDO PENSIONE APERTO BIM VITA</v>
      </c>
      <c r="B99" s="40" t="inlineStr">
        <is>
          <t>Bond</t>
        </is>
      </c>
      <c r="C99" s="46" t="inlineStr">
        <is>
          <t>OBB MISTO</t>
        </is>
      </c>
      <c r="D99" s="47" t="n">
        <v>0</v>
      </c>
      <c r="E99" s="47" t="n">
        <v>1</v>
      </c>
      <c r="F99" s="47" t="n">
        <v>-0.0024</v>
      </c>
      <c r="G99" s="48" t="n">
        <v>10</v>
      </c>
      <c r="H99" s="47" t="n">
        <v>0.01</v>
      </c>
      <c r="I99" s="56" t="inlineStr">
        <is>
          <t>Scheda Ciao Elsa</t>
        </is>
      </c>
      <c r="J99" s="53" t="n"/>
    </row>
    <row r="100">
      <c r="A100" s="37" t="str">
        <f>Sheet1!$A$35</f>
        <v>FONDO PENSIONE APERTO IL MELOGRANO</v>
      </c>
      <c r="B100" s="38" t="inlineStr">
        <is>
          <t>Dinamica</t>
        </is>
      </c>
      <c r="C100" s="43" t="inlineStr">
        <is>
          <t>AZN</t>
        </is>
      </c>
      <c r="D100" s="44" t="n">
        <v>0.85</v>
      </c>
      <c r="E100" s="44" t="n">
        <v>0.15</v>
      </c>
      <c r="F100" s="44" t="n">
        <v>0.0463</v>
      </c>
      <c r="G100" s="45" t="n">
        <v>10</v>
      </c>
      <c r="H100" s="44" t="n">
        <v>0.014</v>
      </c>
      <c r="I100" s="55" t="inlineStr">
        <is>
          <t>Scheda Ciao Elsa</t>
        </is>
      </c>
      <c r="J100" s="52" t="n"/>
    </row>
    <row r="101">
      <c r="A101" s="39" t="str">
        <f>Sheet1!$A$35</f>
        <v>FONDO PENSIONE APERTO IL MELOGRANO</v>
      </c>
      <c r="B101" s="40" t="inlineStr">
        <is>
          <t>Equilibrata</t>
        </is>
      </c>
      <c r="C101" s="46" t="inlineStr">
        <is>
          <t>BIL</t>
        </is>
      </c>
      <c r="D101" s="47" t="n">
        <v>0.51</v>
      </c>
      <c r="E101" s="47" t="n">
        <v>0.49</v>
      </c>
      <c r="F101" s="47" t="n">
        <v>0.0296</v>
      </c>
      <c r="G101" s="48" t="n">
        <v>10</v>
      </c>
      <c r="H101" s="47" t="n">
        <v>0.011</v>
      </c>
      <c r="I101" s="56" t="inlineStr">
        <is>
          <t>Scheda Ciao Elsa</t>
        </is>
      </c>
      <c r="J101" s="53" t="n"/>
    </row>
    <row r="102">
      <c r="A102" s="37" t="str">
        <f>Sheet1!$A$35</f>
        <v>FONDO PENSIONE APERTO IL MELOGRANO</v>
      </c>
      <c r="B102" s="38" t="inlineStr">
        <is>
          <t>Garantita</t>
        </is>
      </c>
      <c r="C102" s="43" t="inlineStr">
        <is>
          <t>OBB MISTO</t>
        </is>
      </c>
      <c r="D102" s="44" t="n">
        <v>0.09</v>
      </c>
      <c r="E102" s="44" t="n">
        <v>0.91</v>
      </c>
      <c r="F102" s="44" t="n">
        <v>0.0046</v>
      </c>
      <c r="G102" s="45" t="n">
        <v>10</v>
      </c>
      <c r="H102" s="44" t="n">
        <v>0.012</v>
      </c>
      <c r="I102" s="55" t="inlineStr">
        <is>
          <t>Scheda Ciao Elsa</t>
        </is>
      </c>
      <c r="J102" s="52" t="n"/>
    </row>
    <row r="103" ht="15.75" customHeight="1" thickBot="1">
      <c r="A103" s="41" t="str">
        <f>Sheet1!$A$35</f>
        <v>FONDO PENSIONE APERTO IL MELOGRANO</v>
      </c>
      <c r="B103" s="42" t="inlineStr">
        <is>
          <t>Prudente</t>
        </is>
      </c>
      <c r="C103" s="49" t="inlineStr">
        <is>
          <t>OBB PURO</t>
        </is>
      </c>
      <c r="D103" s="50" t="n">
        <v>0</v>
      </c>
      <c r="E103" s="50" t="n">
        <v>1</v>
      </c>
      <c r="F103" s="50" t="n">
        <v>-0.002</v>
      </c>
      <c r="G103" s="51" t="n">
        <v>10</v>
      </c>
      <c r="H103" s="50" t="n">
        <v>0.008</v>
      </c>
      <c r="I103" s="57" t="inlineStr">
        <is>
          <t>Scheda Ciao Elsa</t>
        </is>
      </c>
      <c r="J103" s="54" t="n"/>
    </row>
  </sheetData>
  <autoFilter ref="A1:J10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26" customWidth="1" min="3" max="3"/>
    <col width="34" customWidth="1" min="4" max="4"/>
    <col width="90" customWidth="1" min="5" max="5"/>
    <col width="24" customWidth="1" min="6" max="6"/>
    <col width="14" customWidth="1" min="7" max="7"/>
    <col width="44" customWidth="1" min="8" max="8"/>
    <col width="38" customWidth="1" min="9" max="9"/>
    <col width="44" customWidth="1" min="10" max="10"/>
    <col width="13" customWidth="1" min="11" max="11"/>
    <col width="13" customWidth="1" min="12" max="12"/>
    <col width="60" customWidth="1" min="13" max="13"/>
  </cols>
  <sheetData>
    <row r="1">
      <c r="A1" s="66" t="inlineStr">
        <is>
          <t>ID</t>
        </is>
      </c>
      <c r="B1" s="66" t="inlineStr">
        <is>
          <t>Tema</t>
        </is>
      </c>
      <c r="C1" s="66" t="inlineStr">
        <is>
          <t>Titolo breve</t>
        </is>
      </c>
      <c r="D1" s="66" t="inlineStr">
        <is>
          <t>Domanda</t>
        </is>
      </c>
      <c r="E1" s="66" t="inlineStr">
        <is>
          <t>Regola</t>
        </is>
      </c>
      <c r="F1" s="66" t="inlineStr">
        <is>
          <t>Valore chiave</t>
        </is>
      </c>
      <c r="G1" s="66" t="inlineStr">
        <is>
          <t>Uguale per tutti i fondi?</t>
        </is>
      </c>
      <c r="H1" s="66" t="inlineStr">
        <is>
          <t>Cosa varia da fondo a fondo</t>
        </is>
      </c>
      <c r="I1" s="66" t="inlineStr">
        <is>
          <t>Riferimento normativo</t>
        </is>
      </c>
      <c r="J1" s="66" t="inlineStr">
        <is>
          <t>Fonte</t>
        </is>
      </c>
      <c r="K1" s="66" t="inlineStr">
        <is>
          <t>Consultata il</t>
        </is>
      </c>
      <c r="L1" s="66" t="inlineStr">
        <is>
          <t>In vigore dal</t>
        </is>
      </c>
      <c r="M1" s="66" t="inlineStr">
        <is>
          <t>Note</t>
        </is>
      </c>
    </row>
    <row r="2">
      <c r="A2" s="67" t="inlineStr">
        <is>
          <t>R01</t>
        </is>
      </c>
      <c r="B2" s="67" t="inlineStr">
        <is>
          <t>Come funziona</t>
        </is>
      </c>
      <c r="C2" s="67" t="inlineStr">
        <is>
          <t>Il meccanismo</t>
        </is>
      </c>
      <c r="D2" s="67" t="inlineStr">
        <is>
          <t>Come funziona un fondo pensione?</t>
        </is>
      </c>
      <c r="E2" s="67" t="inlineStr">
        <is>
          <t>È un conto individuale a contribuzione definita: i versamenti (tuoi, del datore di lavoro e il TFR) sono investiti nel comparto che scegli. La pensione complementare dipende da quanto versi, da quanto rendono gli investimenti e dai costi: non è un importo garantito, salvo nei comparti con garanzia.</t>
        </is>
      </c>
      <c r="F2" s="67" t="n"/>
      <c r="G2" s="67" t="inlineStr">
        <is>
          <t>In parte</t>
        </is>
      </c>
      <c r="H2" s="67" t="inlineStr">
        <is>
          <t>Comparti, costi, garanzie, percorsi life cycle</t>
        </is>
      </c>
      <c r="I2" s="67" t="inlineStr">
        <is>
          <t>D.Lgs. 252/2005, artt. 1, 8 e 11</t>
        </is>
      </c>
      <c r="J2" s="68" t="inlineStr">
        <is>
          <t>COVIP – Guida introduttiva alla previdenza complementare (settembre 2018)</t>
        </is>
      </c>
      <c r="K2" s="76" t="n">
        <v>46303</v>
      </c>
      <c r="L2" s="76" t="n"/>
      <c r="M2" s="67" t="n"/>
    </row>
    <row r="3">
      <c r="A3" s="67" t="inlineStr">
        <is>
          <t>R02</t>
        </is>
      </c>
      <c r="B3" s="67" t="inlineStr">
        <is>
          <t>Come funziona</t>
        </is>
      </c>
      <c r="C3" s="67" t="inlineStr">
        <is>
          <t>Requisiti</t>
        </is>
      </c>
      <c r="D3" s="67" t="inlineStr">
        <is>
          <t>Quando posso avere la pensione complementare?</t>
        </is>
      </c>
      <c r="E3" s="67" t="inlineStr">
        <is>
          <t>Quando maturi i requisiti per la pensione obbligatoria (ad esempio quella di vecchiaia), purché tu abbia almeno 5 anni di partecipazione alla previdenza complementare. Il diritto matura anche se la pensione pubblica non è ancora in pagamento. Non sei obbligato a chiederla subito: puoi lasciare la posizione investita e chiederla quando vuoi.</t>
        </is>
      </c>
      <c r="F3" s="67" t="inlineStr">
        <is>
          <t>5 anni di partecipazione</t>
        </is>
      </c>
      <c r="G3" s="67" t="inlineStr">
        <is>
          <t>Sì</t>
        </is>
      </c>
      <c r="H3" s="67" t="n"/>
      <c r="I3" s="67" t="inlineStr">
        <is>
          <t>D.Lgs. 252/2005, art. 11 c. 2</t>
        </is>
      </c>
      <c r="J3" s="68" t="inlineStr">
        <is>
          <t>D.Lgs. 252/2005 – testo COVIP aggiornato alla Legge 199/2025</t>
        </is>
      </c>
      <c r="K3" s="76" t="n">
        <v>46303</v>
      </c>
      <c r="L3" s="76" t="n"/>
      <c r="M3" s="67" t="inlineStr">
        <is>
          <t>3 anni per chi si sposta tra Stati UE. Sulla libertà di scegliere quando chiedere la prestazione: risposta COVIP di settembre 2025 ed esempio di supplemento COVIP per i fondi aperti.</t>
        </is>
      </c>
    </row>
    <row r="4">
      <c r="A4" s="67" t="inlineStr">
        <is>
          <t>R03</t>
        </is>
      </c>
      <c r="B4" s="67" t="inlineStr">
        <is>
          <t>Come funziona</t>
        </is>
      </c>
      <c r="C4" s="67" t="inlineStr">
        <is>
          <t>Versare dopo la pensione</t>
        </is>
      </c>
      <c r="D4" s="67" t="inlineStr">
        <is>
          <t>Posso continuare a versare dopo la pensione?</t>
        </is>
      </c>
      <c r="E4" s="67" t="inlineStr">
        <is>
          <t>Sì, se alla data del pensionamento hai almeno un anno di contribuzione alla previdenza complementare: in quel caso decidi tu quando chiedere la prestazione.</t>
        </is>
      </c>
      <c r="F4" s="67" t="inlineStr">
        <is>
          <t>≥ 1 anno di contributi</t>
        </is>
      </c>
      <c r="G4" s="67" t="inlineStr">
        <is>
          <t>Sì</t>
        </is>
      </c>
      <c r="H4" s="67" t="n"/>
      <c r="I4" s="67" t="inlineStr">
        <is>
          <t>D.Lgs. 252/2005, art. 8 c. 11</t>
        </is>
      </c>
      <c r="J4" s="68" t="inlineStr">
        <is>
          <t>D.Lgs. 252/2005 – testo COVIP aggiornato alla Legge 199/2025</t>
        </is>
      </c>
      <c r="K4" s="76" t="n">
        <v>46303</v>
      </c>
      <c r="L4" s="76" t="n"/>
      <c r="M4" s="67" t="n"/>
    </row>
    <row r="5">
      <c r="A5" s="67" t="inlineStr">
        <is>
          <t>R04</t>
        </is>
      </c>
      <c r="B5" s="67" t="inlineStr">
        <is>
          <t>Come funziona</t>
        </is>
      </c>
      <c r="C5" s="67" t="inlineStr">
        <is>
          <t>Investimento</t>
        </is>
      </c>
      <c r="D5" s="67" t="inlineStr">
        <is>
          <t>Come si investe e si cambia investimento?</t>
        </is>
      </c>
      <c r="E5" s="67" t="inlineStr">
        <is>
          <t>Scegli un comparto, oppure un percorso life cycle che riduce il rischio con l'età, e puoi cambiarlo nel tempo (switch) rispettando il periodo minimo previsto dal regolamento. Il fondo può consentire di dividere i versamenti su più comparti.</t>
        </is>
      </c>
      <c r="F5" s="67" t="n"/>
      <c r="G5" s="67" t="inlineStr">
        <is>
          <t>In parte</t>
        </is>
      </c>
      <c r="H5" s="67" t="inlineStr">
        <is>
          <t>Comparti disponibili, life cycle, periodo minimo tra due switch, costo dello switch, versamenti su più comparti</t>
        </is>
      </c>
      <c r="I5" s="67" t="inlineStr">
        <is>
          <t>D.Lgs. 252/2005, art. 8 c. 13</t>
        </is>
      </c>
      <c r="J5" s="68" t="inlineStr">
        <is>
          <t>D.Lgs. 252/2005 – testo COVIP aggiornato alla Legge 199/2025</t>
        </is>
      </c>
      <c r="K5" s="76" t="n">
        <v>46303</v>
      </c>
      <c r="L5" s="76" t="n"/>
      <c r="M5" s="67" t="n"/>
    </row>
    <row r="6">
      <c r="A6" s="67" t="inlineStr">
        <is>
          <t>R05</t>
        </is>
      </c>
      <c r="B6" s="67" t="inlineStr">
        <is>
          <t>Adesione e TFR</t>
        </is>
      </c>
      <c r="C6" s="67" t="inlineStr">
        <is>
          <t>TFR dei neoassunti</t>
        </is>
      </c>
      <c r="D6" s="67" t="inlineStr">
        <is>
          <t>Cosa succede al TFR di un neoassunto?</t>
        </is>
      </c>
      <c r="E6" s="67" t="inlineStr">
        <is>
          <t>Dal 1° luglio 2026 chi è alla prima assunzione nel settore privato (esclusi i lavoratori domestici) aderisce automaticamente al fondo negoziale previsto dal contratto, con tutto il TFR e i contributi fissati dagli accordi. Entro 60 giorni può rinunciare: mandare tutto il TFR a un altro fondo scelto liberamente (anche un fondo aperto) oppure tenerlo in azienda.</t>
        </is>
      </c>
      <c r="F6" s="67" t="inlineStr">
        <is>
          <t>60 giorni per scegliere</t>
        </is>
      </c>
      <c r="G6" s="67" t="inlineStr">
        <is>
          <t>Sì</t>
        </is>
      </c>
      <c r="H6" s="67" t="n"/>
      <c r="I6" s="67" t="inlineStr">
        <is>
          <t>D.Lgs. 252/2005, art. 8 c. 7–7-quinquies; DM 4 settembre 2026 (Modulo TFR3)</t>
        </is>
      </c>
      <c r="J6" s="68" t="inlineStr">
        <is>
          <t>D.Lgs. 252/2005 – testo COVIP aggiornato alla Legge 199/2025</t>
        </is>
      </c>
      <c r="K6" s="76" t="n">
        <v>46303</v>
      </c>
      <c r="L6" s="76" t="n">
        <v>46204</v>
      </c>
      <c r="M6" s="67" t="inlineStr">
        <is>
          <t>Per gli assunti fino al 30/6/2026 valeva il silenzio-assenso con 6 mesi per scegliere (modulo TFR2), come descritto ancora nelle FAQ COVIP sul TFR.</t>
        </is>
      </c>
    </row>
    <row r="7">
      <c r="A7" s="67" t="inlineStr">
        <is>
          <t>R06</t>
        </is>
      </c>
      <c r="B7" s="67" t="inlineStr">
        <is>
          <t>Adesione e TFR</t>
        </is>
      </c>
      <c r="C7" s="67" t="inlineStr">
        <is>
          <t>Revocabilità della scelta</t>
        </is>
      </c>
      <c r="D7" s="67" t="inlineStr">
        <is>
          <t>Posso cambiare idea sul TFR?</t>
        </is>
      </c>
      <c r="E7" s="67" t="inlineStr">
        <is>
          <t>Lasciare il TFR in azienda è una scelta che puoi cambiare in qualsiasi momento; mandarlo alla previdenza complementare invece è irrevocabile. Puoi però sempre cambiare fondo (vedi il trasferimento).</t>
        </is>
      </c>
      <c r="F7" s="67" t="n"/>
      <c r="G7" s="67" t="inlineStr">
        <is>
          <t>Sì</t>
        </is>
      </c>
      <c r="H7" s="67" t="n"/>
      <c r="I7" s="67" t="inlineStr">
        <is>
          <t>D.Lgs. 252/2005, art. 8 c. 7-quater</t>
        </is>
      </c>
      <c r="J7" s="68" t="inlineStr">
        <is>
          <t>COVIP – FAQ sul conferimento del TFR</t>
        </is>
      </c>
      <c r="K7" s="76" t="n">
        <v>46303</v>
      </c>
      <c r="L7" s="76" t="n"/>
      <c r="M7" s="67" t="n"/>
    </row>
    <row r="8">
      <c r="A8" s="67" t="inlineStr">
        <is>
          <t>R07</t>
        </is>
      </c>
      <c r="B8" s="67" t="inlineStr">
        <is>
          <t>Adesione e TFR</t>
        </is>
      </c>
      <c r="C8" s="67" t="inlineStr">
        <is>
          <t>TFR: azienda o fondo</t>
        </is>
      </c>
      <c r="D8" s="67" t="inlineStr">
        <is>
          <t>TFR in azienda o nel fondo: che differenza c'è?</t>
        </is>
      </c>
      <c r="E8" s="67" t="inlineStr">
        <is>
          <t>In azienda il TFR si rivaluta ogni anno dell'1,5% più il 75% dell'inflazione, con un'imposta del 17% sulla rivalutazione, e all'uscita è tassato con l'aliquota media IRPEF. Nel fondo è investito nel comparto scelto (il rendimento può essere più alto o più basso) e all'uscita è tassato dal 15% al 9%.</t>
        </is>
      </c>
      <c r="F8" s="67" t="inlineStr">
        <is>
          <t>17% in azienda · 15%→9% nel fondo</t>
        </is>
      </c>
      <c r="G8" s="67" t="inlineStr">
        <is>
          <t>Sì</t>
        </is>
      </c>
      <c r="H8" s="67" t="n"/>
      <c r="I8" s="67" t="inlineStr">
        <is>
          <t>Codice civile, art. 2120; D.Lgs. 252/2005, art. 11 c. 6</t>
        </is>
      </c>
      <c r="J8" s="68" t="inlineStr">
        <is>
          <t>COVIP – Guida introduttiva alla previdenza complementare (settembre 2018)</t>
        </is>
      </c>
      <c r="K8" s="76" t="n">
        <v>46303</v>
      </c>
      <c r="L8" s="76" t="n"/>
      <c r="M8" s="67" t="inlineStr">
        <is>
          <t>Esempio della Guida COVIP: con 37 anni di partecipazione e la stessa rivalutazione, il TFR nel fondo vale circa il 18% in più al netto delle tasse.</t>
        </is>
      </c>
    </row>
    <row r="9">
      <c r="A9" s="67" t="inlineStr">
        <is>
          <t>R08</t>
        </is>
      </c>
      <c r="B9" s="67" t="inlineStr">
        <is>
          <t>Adesione e TFR</t>
        </is>
      </c>
      <c r="C9" s="67" t="inlineStr">
        <is>
          <t>Contributo del datore</t>
        </is>
      </c>
      <c r="D9" s="67" t="inlineStr">
        <is>
          <t>Mi spetta il contributo del datore di lavoro?</t>
        </is>
      </c>
      <c r="E9" s="67" t="inlineStr">
        <is>
          <t>Il contributo del datore è fissato dai contratti e dagli accordi collettivi, di solito per il fondo negoziale di categoria: aderendo a un fondo aperto puoi perderlo, salvo accordi diversi. Dal 31 ottobre 2026 chi trasferisce la posizione a un altro fondo ha diritto a portarsi dietro il TFR futuro e l'eventuale contributo del datore.</t>
        </is>
      </c>
      <c r="F9" s="67" t="n"/>
      <c r="G9" s="67" t="inlineStr">
        <is>
          <t>In parte</t>
        </is>
      </c>
      <c r="H9" s="67" t="inlineStr">
        <is>
          <t>Contratto collettivo e accordi aziendali; adesione individuale o collettiva al fondo</t>
        </is>
      </c>
      <c r="I9" s="67" t="inlineStr">
        <is>
          <t>D.Lgs. 252/2005, art. 8 c. 10 e art. 14 c. 6</t>
        </is>
      </c>
      <c r="J9" s="68" t="inlineStr">
        <is>
          <t>D.Lgs. 252/2005 – testo COVIP aggiornato alla Legge 199/2025</t>
        </is>
      </c>
      <c r="K9" s="76" t="n">
        <v>46303</v>
      </c>
      <c r="L9" s="76" t="n">
        <v>46326</v>
      </c>
      <c r="M9" s="67" t="inlineStr">
        <is>
          <t>La portabilità del contributo del datore (L. 199/2025) decorre dal 31/10/2026 (D.L. 19/2026, convertito dalla L. 50/2026). Verificare le istruzioni operative COVIP.</t>
        </is>
      </c>
    </row>
    <row r="10">
      <c r="A10" s="67" t="inlineStr">
        <is>
          <t>R09</t>
        </is>
      </c>
      <c r="B10" s="67" t="inlineStr">
        <is>
          <t>Tasse e deduzioni</t>
        </is>
      </c>
      <c r="C10" s="67" t="inlineStr">
        <is>
          <t>Deducibilità</t>
        </is>
      </c>
      <c r="D10" s="67" t="inlineStr">
        <is>
          <t>Quanto posso dedurre dalle tasse?</t>
        </is>
      </c>
      <c r="E10" s="67" t="inlineStr">
        <is>
          <t>I contributi versati (tuoi e del datore di lavoro, escluso il TFR) si deducono dal reddito fino a 5.300 € l'anno dal 2026 (5.164,57 € fino al 2025). Quelli non dedotti vanno comunicati al fondo entro il 31 dicembre dell'anno successivo: così non saranno tassati all'uscita.</t>
        </is>
      </c>
      <c r="F10" s="67" t="inlineStr">
        <is>
          <t>5.300 € l'anno</t>
        </is>
      </c>
      <c r="G10" s="67" t="inlineStr">
        <is>
          <t>Sì</t>
        </is>
      </c>
      <c r="H10" s="67" t="n"/>
      <c r="I10" s="67" t="inlineStr">
        <is>
          <t>D.Lgs. 252/2005, art. 8 c. 4</t>
        </is>
      </c>
      <c r="J10" s="68" t="inlineStr">
        <is>
          <t>Legge 30 dicembre 2025, n. 199 – estratto COVIP</t>
        </is>
      </c>
      <c r="K10" s="76" t="n">
        <v>46303</v>
      </c>
      <c r="L10" s="76" t="n">
        <v>46023</v>
      </c>
      <c r="M10" s="67" t="inlineStr">
        <is>
          <t>Le FAQ COVIP sul trattamento fiscale riportano ancora 5.164,57 €.</t>
        </is>
      </c>
    </row>
    <row r="11">
      <c r="A11" s="67" t="inlineStr">
        <is>
          <t>R10</t>
        </is>
      </c>
      <c r="B11" s="67" t="inlineStr">
        <is>
          <t>Tasse e deduzioni</t>
        </is>
      </c>
      <c r="C11" s="67" t="inlineStr">
        <is>
          <t>Bonus per chi inizia</t>
        </is>
      </c>
      <c r="D11" s="67" t="inlineStr">
        <is>
          <t>C'è un vantaggio per chi inizia a lavorare?</t>
        </is>
      </c>
      <c r="E11" s="67" t="inlineStr">
        <is>
          <t>Chi ha iniziato a lavorare dopo il 2006 e nei primi 5 anni di partecipazione versa meno del massimo deducibile può recuperare la differenza nei 20 anni successivi, deducendo ogni anno fino a metà del limite in più (oggi 2.650 €).</t>
        </is>
      </c>
      <c r="F11" s="67" t="inlineStr">
        <is>
          <t>+2.650 € l'anno</t>
        </is>
      </c>
      <c r="G11" s="67" t="inlineStr">
        <is>
          <t>Sì</t>
        </is>
      </c>
      <c r="H11" s="67" t="n"/>
      <c r="I11" s="67" t="inlineStr">
        <is>
          <t>D.Lgs. 252/2005, art. 8 c. 6</t>
        </is>
      </c>
      <c r="J11" s="68" t="inlineStr">
        <is>
          <t>D.Lgs. 252/2005 – testo COVIP aggiornato alla Legge 199/2025</t>
        </is>
      </c>
      <c r="K11" s="76" t="n">
        <v>46303</v>
      </c>
      <c r="L11" s="76" t="n"/>
      <c r="M11" s="67" t="n"/>
    </row>
    <row r="12">
      <c r="A12" s="67" t="inlineStr">
        <is>
          <t>R11</t>
        </is>
      </c>
      <c r="B12" s="67" t="inlineStr">
        <is>
          <t>Tasse e deduzioni</t>
        </is>
      </c>
      <c r="C12" s="67" t="inlineStr">
        <is>
          <t>Tasse sui rendimenti</t>
        </is>
      </c>
      <c r="D12" s="67" t="inlineStr">
        <is>
          <t>Come sono tassati i rendimenti durante l'accumulo?</t>
        </is>
      </c>
      <c r="E12" s="67" t="inlineStr">
        <is>
          <t>I rendimenti del fondo sono tassati ogni anno al 20%, e al 12,5% sulla parte che viene da titoli di Stato, contro il 26% della maggior parte degli investimenti.</t>
        </is>
      </c>
      <c r="F12" s="67" t="inlineStr">
        <is>
          <t>20% (12,5% sui titoli di Stato)</t>
        </is>
      </c>
      <c r="G12" s="67" t="inlineStr">
        <is>
          <t>Sì</t>
        </is>
      </c>
      <c r="H12" s="67" t="n"/>
      <c r="I12" s="67" t="inlineStr">
        <is>
          <t>FAQ COVIP sul trattamento fiscale</t>
        </is>
      </c>
      <c r="J12" s="68" t="inlineStr">
        <is>
          <t>COVIP – FAQ sul trattamento fiscale</t>
        </is>
      </c>
      <c r="K12" s="76" t="n">
        <v>46303</v>
      </c>
      <c r="L12" s="76" t="n"/>
      <c r="M12" s="67" t="n"/>
    </row>
    <row r="13">
      <c r="A13" s="67" t="inlineStr">
        <is>
          <t>R12</t>
        </is>
      </c>
      <c r="B13" s="67" t="inlineStr">
        <is>
          <t>Tasse e deduzioni</t>
        </is>
      </c>
      <c r="C13" s="67" t="inlineStr">
        <is>
          <t>Tasse sulle prestazioni</t>
        </is>
      </c>
      <c r="D13" s="67" t="inlineStr">
        <is>
          <t>Come sono tassate le somme che ricevo?</t>
        </is>
      </c>
      <c r="E13" s="67" t="inlineStr">
        <is>
          <t>Capitale, rendita vitalizia, rendita a durata definita, prelievi, RITA, riscatti per inoccupazione, invalidità o decesso e anticipazioni per spese sanitarie: 15%, che scende di 0,30 punti per ogni anno di partecipazione oltre il 15° fino al 9% (dopo 35 anni). Erogazione frazionata: dal 20% al 15%. Anticipazioni per la casa o per altre esigenze e riscatti per altre cause: 23%. Si paga solo sulla parte non ancora tassata: i rendimenti lo sono già stati durante l'accumulo e i contributi non dedotti sono esclusi.</t>
        </is>
      </c>
      <c r="F13" s="67" t="inlineStr">
        <is>
          <t>15%→9% · 20%→15% · 23%</t>
        </is>
      </c>
      <c r="G13" s="67" t="inlineStr">
        <is>
          <t>Sì</t>
        </is>
      </c>
      <c r="H13" s="67" t="n"/>
      <c r="I13" s="67" t="inlineStr">
        <is>
          <t>D.Lgs. 252/2005, art. 11 c. 4-ter, 6, 6-bis, 6-ter, 7; art. 14 c. 4-5</t>
        </is>
      </c>
      <c r="J13" s="68" t="inlineStr">
        <is>
          <t>D.Lgs. 252/2005 – testo COVIP aggiornato alla Legge 199/2025</t>
        </is>
      </c>
      <c r="K13" s="76" t="n">
        <v>46303</v>
      </c>
      <c r="L13" s="76" t="n"/>
      <c r="M13" s="67" t="inlineStr">
        <is>
          <t>Per la rendita vitalizia, i rendimenti prodotti durante l'erogazione sono tassati a parte come redditi di capitale (art. 11 c. 6).</t>
        </is>
      </c>
    </row>
    <row r="14">
      <c r="A14" s="67" t="inlineStr">
        <is>
          <t>R13</t>
        </is>
      </c>
      <c r="B14" s="67" t="inlineStr">
        <is>
          <t>Prima della pensione</t>
        </is>
      </c>
      <c r="C14" s="67" t="inlineStr">
        <is>
          <t>Anticipo per spese mediche</t>
        </is>
      </c>
      <c r="D14" s="67" t="inlineStr">
        <is>
          <t>Posso avere soldi prima per spese mediche?</t>
        </is>
      </c>
      <c r="E14" s="67" t="inlineStr">
        <is>
          <t>Sì, in qualsiasi momento, fino al 75% della posizione, per spese sanitarie dovute a situazioni gravissime (tue, del coniuge o dei figli) per terapie e interventi straordinari riconosciuti dalle strutture pubbliche. Tassazione dal 15% al 9%.</t>
        </is>
      </c>
      <c r="F14" s="67" t="inlineStr">
        <is>
          <t>75%, in qualsiasi momento</t>
        </is>
      </c>
      <c r="G14" s="67" t="inlineStr">
        <is>
          <t>Sì</t>
        </is>
      </c>
      <c r="H14" s="67" t="inlineStr">
        <is>
          <t>Documenti richiesti e tempi (Documento sulle anticipazioni)</t>
        </is>
      </c>
      <c r="I14" s="67" t="inlineStr">
        <is>
          <t>D.Lgs. 252/2005, art. 11 c. 7 lett. a)</t>
        </is>
      </c>
      <c r="J14" s="68" t="inlineStr">
        <is>
          <t>D.Lgs. 252/2005 – testo COVIP aggiornato alla Legge 199/2025</t>
        </is>
      </c>
      <c r="K14" s="76" t="n">
        <v>46303</v>
      </c>
      <c r="L14" s="76" t="n"/>
      <c r="M14" s="67" t="n"/>
    </row>
    <row r="15">
      <c r="A15" s="67" t="inlineStr">
        <is>
          <t>R14</t>
        </is>
      </c>
      <c r="B15" s="67" t="inlineStr">
        <is>
          <t>Prima della pensione</t>
        </is>
      </c>
      <c r="C15" s="67" t="inlineStr">
        <is>
          <t>Anticipo per la casa</t>
        </is>
      </c>
      <c r="D15" s="67" t="inlineStr">
        <is>
          <t>E per la casa?</t>
        </is>
      </c>
      <c r="E15" s="67" t="inlineStr">
        <is>
          <t>Dopo 8 anni di iscrizione, fino al 75%, per comprare o ristrutturare la prima casa tua o dei figli. Tassazione 23%.</t>
        </is>
      </c>
      <c r="F15" s="67" t="inlineStr">
        <is>
          <t>75%, dopo 8 anni</t>
        </is>
      </c>
      <c r="G15" s="67" t="inlineStr">
        <is>
          <t>Sì</t>
        </is>
      </c>
      <c r="H15" s="67" t="inlineStr">
        <is>
          <t>Documenti richiesti e tempi (Documento sulle anticipazioni)</t>
        </is>
      </c>
      <c r="I15" s="67" t="inlineStr">
        <is>
          <t>D.Lgs. 252/2005, art. 11 c. 7 lett. b)</t>
        </is>
      </c>
      <c r="J15" s="68" t="inlineStr">
        <is>
          <t>D.Lgs. 252/2005 – testo COVIP aggiornato alla Legge 199/2025</t>
        </is>
      </c>
      <c r="K15" s="76" t="n">
        <v>46303</v>
      </c>
      <c r="L15" s="76" t="n"/>
      <c r="M15" s="67" t="n"/>
    </row>
    <row r="16">
      <c r="A16" s="67" t="inlineStr">
        <is>
          <t>R15</t>
        </is>
      </c>
      <c r="B16" s="67" t="inlineStr">
        <is>
          <t>Prima della pensione</t>
        </is>
      </c>
      <c r="C16" s="67" t="inlineStr">
        <is>
          <t>Anticipo per altre esigenze</t>
        </is>
      </c>
      <c r="D16" s="67" t="inlineStr">
        <is>
          <t>E per altre esigenze?</t>
        </is>
      </c>
      <c r="E16" s="67" t="inlineStr">
        <is>
          <t>Dopo 8 anni di iscrizione, fino al 30%, senza dover spiegare il motivo. Tassazione 23%.</t>
        </is>
      </c>
      <c r="F16" s="67" t="inlineStr">
        <is>
          <t>30%, dopo 8 anni</t>
        </is>
      </c>
      <c r="G16" s="67" t="inlineStr">
        <is>
          <t>Sì</t>
        </is>
      </c>
      <c r="H16" s="67" t="n"/>
      <c r="I16" s="67" t="inlineStr">
        <is>
          <t>D.Lgs. 252/2005, art. 11 c. 7 lett. c)</t>
        </is>
      </c>
      <c r="J16" s="68" t="inlineStr">
        <is>
          <t>D.Lgs. 252/2005 – testo COVIP aggiornato alla Legge 199/2025</t>
        </is>
      </c>
      <c r="K16" s="76" t="n">
        <v>46303</v>
      </c>
      <c r="L16" s="76" t="n"/>
      <c r="M16" s="67" t="n"/>
    </row>
    <row r="17">
      <c r="A17" s="67" t="inlineStr">
        <is>
          <t>R16</t>
        </is>
      </c>
      <c r="B17" s="67" t="inlineStr">
        <is>
          <t>Prima della pensione</t>
        </is>
      </c>
      <c r="C17" s="67" t="inlineStr">
        <is>
          <t>Limiti delle anticipazioni</t>
        </is>
      </c>
      <c r="D17" s="67" t="inlineStr">
        <is>
          <t>Ci sono limiti alle anticipazioni?</t>
        </is>
      </c>
      <c r="E17" s="67" t="inlineStr">
        <is>
          <t>Si possono chiedere più volte, ma in totale non possono superare il 75% di quanto versato (TFR compreso) più i rendimenti. Riducono la pensione futura, ma si possono reintegrare quando vuoi, anche oltre il limite di deducibilità, recuperando con un credito d'imposta le tasse pagate.</t>
        </is>
      </c>
      <c r="F17" s="67" t="inlineStr">
        <is>
          <t>max 75% in totale</t>
        </is>
      </c>
      <c r="G17" s="67" t="inlineStr">
        <is>
          <t>Sì</t>
        </is>
      </c>
      <c r="H17" s="67" t="n"/>
      <c r="I17" s="67" t="inlineStr">
        <is>
          <t>D.Lgs. 252/2005, art. 11 c. 8</t>
        </is>
      </c>
      <c r="J17" s="68" t="inlineStr">
        <is>
          <t>D.Lgs. 252/2005 – testo COVIP aggiornato alla Legge 199/2025</t>
        </is>
      </c>
      <c r="K17" s="76" t="n">
        <v>46303</v>
      </c>
      <c r="L17" s="76" t="n"/>
      <c r="M17" s="67" t="n"/>
    </row>
    <row r="18">
      <c r="A18" s="67" t="inlineStr">
        <is>
          <t>R17</t>
        </is>
      </c>
      <c r="B18" s="67" t="inlineStr">
        <is>
          <t>Prima della pensione</t>
        </is>
      </c>
      <c r="C18" s="67" t="inlineStr">
        <is>
          <t>Riscatto per perdita del lavoro</t>
        </is>
      </c>
      <c r="D18" s="67" t="inlineStr">
        <is>
          <t>Posso riscattare se perdo il lavoro?</t>
        </is>
      </c>
      <c r="E18" s="67" t="inlineStr">
        <is>
          <t>Con inoccupazione tra 12 e 48 mesi, mobilità o cassa integrazione (anche a zero ore per almeno 12 mesi) puoi riscattare il 50%. Con invalidità permanente che riduce la capacità di lavoro a meno di un terzo, o con inoccupazione oltre 48 mesi, il 100%. Tassazione dal 15% al 9%. In alternativa puoi lasciare la posizione nel fondo anche senza versare.</t>
        </is>
      </c>
      <c r="F18" s="67" t="inlineStr">
        <is>
          <t>50% o 100%</t>
        </is>
      </c>
      <c r="G18" s="67" t="inlineStr">
        <is>
          <t>Sì</t>
        </is>
      </c>
      <c r="H18" s="67" t="n"/>
      <c r="I18" s="67" t="inlineStr">
        <is>
          <t>D.Lgs. 252/2005, art. 14 c. 2 e 4</t>
        </is>
      </c>
      <c r="J18" s="68" t="inlineStr">
        <is>
          <t>COVIP – FAQ sulle prestazioni</t>
        </is>
      </c>
      <c r="K18" s="76" t="n">
        <v>46303</v>
      </c>
      <c r="L18" s="76" t="n"/>
      <c r="M18" s="67" t="n"/>
    </row>
    <row r="19">
      <c r="A19" s="67" t="inlineStr">
        <is>
          <t>R18</t>
        </is>
      </c>
      <c r="B19" s="67" t="inlineStr">
        <is>
          <t>Prima della pensione</t>
        </is>
      </c>
      <c r="C19" s="67" t="inlineStr">
        <is>
          <t>Riscatto per altre cause</t>
        </is>
      </c>
      <c r="D19" s="67" t="inlineStr">
        <is>
          <t>E per altri motivi, ad esempio le dimissioni?</t>
        </is>
      </c>
      <c r="E19" s="67" t="inlineStr">
        <is>
          <t>Se perdi i requisiti di partecipazione per altre cause puoi riscattare tutta la posizione, con una ritenuta del 23%. Nelle adesioni individuali, come quelle a un fondo aperto, è possibile solo se ti eri dichiarato lavoratore all'adesione (o dopo) e dimostri di aver perso questo status: il solo trasferimento all'estero non basta.</t>
        </is>
      </c>
      <c r="F19" s="67" t="inlineStr">
        <is>
          <t>100% al 23%</t>
        </is>
      </c>
      <c r="G19" s="67" t="inlineStr">
        <is>
          <t>In parte</t>
        </is>
      </c>
      <c r="H19" s="67" t="inlineStr">
        <is>
          <t>Casi concreti e documenti richiesti dal regolamento del fondo</t>
        </is>
      </c>
      <c r="I19" s="67" t="inlineStr">
        <is>
          <t>D.Lgs. 252/2005, art. 14 c. 5; circolare COVIP 26/10/2017 n. 5027</t>
        </is>
      </c>
      <c r="J19" s="68" t="inlineStr">
        <is>
          <t>COVIP – Risposta a quesito sul riscatto ex art. 14, c. 5 (febbraio 2021)</t>
        </is>
      </c>
      <c r="K19" s="76" t="n">
        <v>46303</v>
      </c>
      <c r="L19" s="76" t="n"/>
      <c r="M19" s="67" t="n"/>
    </row>
    <row r="20">
      <c r="A20" s="67" t="inlineStr">
        <is>
          <t>R19</t>
        </is>
      </c>
      <c r="B20" s="67" t="inlineStr">
        <is>
          <t>Prima della pensione</t>
        </is>
      </c>
      <c r="C20" s="67" t="inlineStr">
        <is>
          <t>RITA</t>
        </is>
      </c>
      <c r="D20" s="67" t="inlineStr">
        <is>
          <t>Cos'è la RITA?</t>
        </is>
      </c>
      <c r="E20" s="67" t="inlineStr">
        <is>
          <t>La Rendita integrativa temporanea anticipata ti paga a rate tutta o parte della posizione fino all'età della pensione di vecchiaia. Spetta se hai smesso di lavorare e ti mancano al massimo 5 anni alla pensione di vecchiaia (con almeno 20 anni di contributi obbligatori), oppure se sei inoccupato da più di 24 mesi e ti mancano al massimo 10 anni. Servono 5 anni di partecipazione. Tassazione dal 15% al 9%; la parte non usata resta investita.</t>
        </is>
      </c>
      <c r="F20" s="67" t="inlineStr">
        <is>
          <t>5 o 10 anni prima della vecchiaia</t>
        </is>
      </c>
      <c r="G20" s="67" t="inlineStr">
        <is>
          <t>Sì</t>
        </is>
      </c>
      <c r="H20" s="67" t="inlineStr">
        <is>
          <t>Periodicità delle rate, comparto in cui resta il residuo, costi</t>
        </is>
      </c>
      <c r="I20" s="67" t="inlineStr">
        <is>
          <t>D.Lgs. 252/2005, art. 11 c. 4–4-quater</t>
        </is>
      </c>
      <c r="J20" s="68" t="inlineStr">
        <is>
          <t>COVIP – FAQ sulle prestazioni</t>
        </is>
      </c>
      <c r="K20" s="76" t="n">
        <v>46303</v>
      </c>
      <c r="L20" s="76" t="n"/>
      <c r="M20" s="67" t="n"/>
    </row>
    <row r="21">
      <c r="A21" s="67" t="inlineStr">
        <is>
          <t>R20</t>
        </is>
      </c>
      <c r="B21" s="67" t="inlineStr">
        <is>
          <t>Prima della pensione</t>
        </is>
      </c>
      <c r="C21" s="67" t="inlineStr">
        <is>
          <t>Trasferimento</t>
        </is>
      </c>
      <c r="D21" s="67" t="inlineStr">
        <is>
          <t>Posso cambiare fondo?</t>
        </is>
      </c>
      <c r="E21" s="67" t="inlineStr">
        <is>
          <t>Sì: dopo 2 anni di partecipazione puoi trasferire tutta la posizione a un altro fondo, senza tasse (il fondo che lasci può applicare una spesa fissa). Il trasferimento va eseguito entro 6 mesi.</t>
        </is>
      </c>
      <c r="F21" s="67" t="inlineStr">
        <is>
          <t>dopo 2 anni</t>
        </is>
      </c>
      <c r="G21" s="67" t="inlineStr">
        <is>
          <t>Sì</t>
        </is>
      </c>
      <c r="H21" s="67" t="inlineStr">
        <is>
          <t>Spesa per il trasferimento</t>
        </is>
      </c>
      <c r="I21" s="67" t="inlineStr">
        <is>
          <t>D.Lgs. 252/2005, art. 14 c. 6–8</t>
        </is>
      </c>
      <c r="J21" s="68" t="inlineStr">
        <is>
          <t>D.Lgs. 252/2005 – testo COVIP aggiornato alla Legge 199/2025</t>
        </is>
      </c>
      <c r="K21" s="76" t="n">
        <v>46303</v>
      </c>
      <c r="L21" s="76" t="n"/>
      <c r="M21" s="67" t="inlineStr">
        <is>
          <t>Esenzione fiscale: FAQ COVIP sul trattamento fiscale.</t>
        </is>
      </c>
    </row>
    <row r="22">
      <c r="A22" s="67" t="inlineStr">
        <is>
          <t>R21</t>
        </is>
      </c>
      <c r="B22" s="67" t="inlineStr">
        <is>
          <t>Alla pensione</t>
        </is>
      </c>
      <c r="C22" s="67" t="inlineStr">
        <is>
          <t>Capitale</t>
        </is>
      </c>
      <c r="D22" s="67" t="inlineStr">
        <is>
          <t>Quanto posso prendere in capitale?</t>
        </is>
      </c>
      <c r="E22" s="67" t="inlineStr">
        <is>
          <t>Fino al 50% del montante (meno le anticipazioni non reintegrate); il resto va preso come rendita vitalizia o in una delle nuove forme. Tutto in capitale solo se la rendita vitalizia ottenuta convertendo il 70% del montante sarebbe inferiore alla metà dell'assegno sociale (nel 2026: 546,24 € al mese per 13 mensilità), oppure per i “vecchi iscritti” (iscritti prima del 29 aprile 1993 a un fondo preesistente).</t>
        </is>
      </c>
      <c r="F22" s="67" t="inlineStr">
        <is>
          <t>50%</t>
        </is>
      </c>
      <c r="G22" s="67" t="inlineStr">
        <is>
          <t>Sì</t>
        </is>
      </c>
      <c r="H22" s="67" t="n"/>
      <c r="I22" s="67" t="inlineStr">
        <is>
          <t>D.Lgs. 252/2005, art. 11 c. 3</t>
        </is>
      </c>
      <c r="J22" s="68" t="inlineStr">
        <is>
          <t>D.Lgs. 252/2005 – testo COVIP aggiornato alla Legge 199/2025</t>
        </is>
      </c>
      <c r="K22" s="76" t="n">
        <v>46303</v>
      </c>
      <c r="L22" s="76" t="n"/>
      <c r="M22" s="67" t="inlineStr">
        <is>
          <t>La Legge 199/2025 aveva portato il limite al 60% dal 1° luglio 2026, ma il D.L. 62/2026 (convertito dalla L. 112/2026, in vigore dal 28 giugno 2026) ha ripristinato il 50% prima che la modifica si applicasse (nota 129 del testo COVIP). Molte fonti secondarie riportano ancora il 60%.</t>
        </is>
      </c>
    </row>
    <row r="23">
      <c r="A23" s="67" t="inlineStr">
        <is>
          <t>R22</t>
        </is>
      </c>
      <c r="B23" s="67" t="inlineStr">
        <is>
          <t>Alla pensione</t>
        </is>
      </c>
      <c r="C23" s="67" t="inlineStr">
        <is>
          <t>Rendita vitalizia</t>
        </is>
      </c>
      <c r="D23" s="67" t="inlineStr">
        <is>
          <t>Cos'è la rendita vitalizia?</t>
        </is>
      </c>
      <c r="E23" s="67" t="inlineStr">
        <is>
          <t>È una pensione pagata per tutta la vita da un'impresa di assicurazione convenzionata con il fondo, calcolata con coefficienti che dipendono dall'età, dalla speranza di vita, dal tasso tecnico e dai costi. Protegge dal rischio di vivere più a lungo del previsto. Nella forma base, alla morte il capitale residuo non viene restituito.</t>
        </is>
      </c>
      <c r="F23" s="67" t="n"/>
      <c r="G23" s="67" t="inlineStr">
        <is>
          <t>In parte</t>
        </is>
      </c>
      <c r="H23" s="67" t="inlineStr">
        <is>
          <t>Compagnia che paga la rendita, coefficienti di trasformazione, costi (caricamento), rivalutazione annua</t>
        </is>
      </c>
      <c r="I23" s="67" t="inlineStr">
        <is>
          <t>D.Lgs. 252/2005, art. 11 c. 3 e 5</t>
        </is>
      </c>
      <c r="J23" s="68" t="inlineStr">
        <is>
          <t>COVIP – Esempio di supplemento alla Nota informativa per i fondi aperti (28 luglio 2026)</t>
        </is>
      </c>
      <c r="K23" s="76" t="n">
        <v>46303</v>
      </c>
      <c r="L23" s="76" t="n"/>
      <c r="M23" s="67" t="inlineStr">
        <is>
          <t>Da cosa dipendono i coefficienti: Guida introduttiva COVIP (2018), p. 27.</t>
        </is>
      </c>
    </row>
    <row r="24">
      <c r="A24" s="67" t="inlineStr">
        <is>
          <t>R23</t>
        </is>
      </c>
      <c r="B24" s="67" t="inlineStr">
        <is>
          <t>Alla pensione</t>
        </is>
      </c>
      <c r="C24" s="67" t="inlineStr">
        <is>
          <t>Tipi di rendita vitalizia</t>
        </is>
      </c>
      <c r="D24" s="67" t="inlineStr">
        <is>
          <t>Quali tipi di rendita vitalizia esistono?</t>
        </is>
      </c>
      <c r="E24" s="67" t="inlineStr">
        <is>
          <t>Oltre a quella base, il fondo può offrire: reversibile (alla tua morte continua, in tutto o in parte, a chi hai indicato), certa per un numero di anni e poi vitalizia (pagata comunque per quegli anni), con restituzione del capitale residuo (controassicurata), con copertura LTC (una prestazione in più se perdi l'autosufficienza). Ogni protezione in più riduce la rata.</t>
        </is>
      </c>
      <c r="F24" s="67" t="n"/>
      <c r="G24" s="67" t="inlineStr">
        <is>
          <t>No</t>
        </is>
      </c>
      <c r="H24" s="67" t="inlineStr">
        <is>
          <t>Tipi offerti, percentuale di reversibilità, durata del periodo certo, condizioni LTC, costi</t>
        </is>
      </c>
      <c r="I24" s="67" t="inlineStr">
        <is>
          <t>D.Lgs. 252/2005, art. 11 c. 5</t>
        </is>
      </c>
      <c r="J24" s="68" t="inlineStr">
        <is>
          <t>COVIP – Esempio di supplemento alla Nota informativa per i fondi aperti (28 luglio 2026)</t>
        </is>
      </c>
      <c r="K24" s="76" t="n">
        <v>46303</v>
      </c>
      <c r="L24" s="76" t="n"/>
      <c r="M24" s="67" t="n"/>
    </row>
    <row r="25">
      <c r="A25" s="67" t="inlineStr">
        <is>
          <t>R24</t>
        </is>
      </c>
      <c r="B25" s="67" t="inlineStr">
        <is>
          <t>Alla pensione</t>
        </is>
      </c>
      <c r="C25" s="67" t="inlineStr">
        <is>
          <t>Rendita a durata definita</t>
        </is>
      </c>
      <c r="D25" s="67" t="inlineStr">
        <is>
          <t>Cos'è la rendita a durata definita?</t>
        </is>
      </c>
      <c r="E25" s="67" t="inlineStr">
        <is>
          <t>In alternativa alla vitalizia, dal 1° luglio 2026: rate per un numero di anni pari alla tua speranza di vita (anni interi, tavole ISTAT; a 67 anni circa 19), o di più se il fondo lo consente. Ogni rata è il capitale residuo diviso per le rate che mancano, quindi varia con i rendimenti; il capitale resta investito nel fondo. La rata è in genere più alta della vitalizia, ma non protegge da una vita più lunga del previsto. Tassata come il capitale.</t>
        </is>
      </c>
      <c r="F25" s="67" t="inlineStr">
        <is>
          <t>≈ 19 anni se inizi a 67</t>
        </is>
      </c>
      <c r="G25" s="67" t="inlineStr">
        <is>
          <t>In parte</t>
        </is>
      </c>
      <c r="H25" s="67" t="inlineStr">
        <is>
          <t>Periodicità (da mensile ad annuale), comparto, costi, durata maggiore</t>
        </is>
      </c>
      <c r="I25" s="67" t="inlineStr">
        <is>
          <t>D.Lgs. 252/2005, art. 11 c. 3-bis, 3-ter, 3-quinquies, 6-bis</t>
        </is>
      </c>
      <c r="J25" s="68" t="inlineStr">
        <is>
          <t>COVIP – Istruzioni sulle prestazioni (deliberazione 25 giugno 2026)</t>
        </is>
      </c>
      <c r="K25" s="76" t="n">
        <v>46303</v>
      </c>
      <c r="L25" s="76" t="n">
        <v>46204</v>
      </c>
      <c r="M25" s="67" t="inlineStr">
        <is>
          <t>Le forme possono raccogliere le domande e pagare dopo essersi adeguate, entro il 31/12/2026. Durata a 67 anni stimata con la tavola ISTAT 2025 (19,7 anni per uomini e donne insieme).</t>
        </is>
      </c>
    </row>
    <row r="26">
      <c r="A26" s="67" t="inlineStr">
        <is>
          <t>R25</t>
        </is>
      </c>
      <c r="B26" s="67" t="inlineStr">
        <is>
          <t>Alla pensione</t>
        </is>
      </c>
      <c r="C26" s="67" t="inlineStr">
        <is>
          <t>Prelievi liberi</t>
        </is>
      </c>
      <c r="D26" s="67" t="inlineStr">
        <is>
          <t>E i prelievi liberi?</t>
        </is>
      </c>
      <c r="E26" s="67" t="inlineStr">
        <is>
          <t>In alternativa alla vitalizia, dal 1° luglio 2026: prelevi quando e quanto vuoi, ma entro la somma delle rate maturate e non ancora riscosse di una rendita teorica a durata definita; il resto resta investito. Nell'ultimo anno puoi prelevare tutto il residuo. Tassati come il capitale.</t>
        </is>
      </c>
      <c r="F26" s="67" t="n"/>
      <c r="G26" s="67" t="inlineStr">
        <is>
          <t>In parte</t>
        </is>
      </c>
      <c r="H26" s="67" t="inlineStr">
        <is>
          <t>Intervallo minimo tra i prelievi, importo minimo, comparto, costi</t>
        </is>
      </c>
      <c r="I26" s="67" t="inlineStr">
        <is>
          <t>D.Lgs. 252/2005, art. 11 c. 3-bis e 3-quater</t>
        </is>
      </c>
      <c r="J26" s="68" t="inlineStr">
        <is>
          <t>COVIP – Istruzioni sulle prestazioni (deliberazione 25 giugno 2026)</t>
        </is>
      </c>
      <c r="K26" s="76" t="n">
        <v>46303</v>
      </c>
      <c r="L26" s="76" t="n">
        <v>46204</v>
      </c>
      <c r="M26" s="67" t="n"/>
    </row>
    <row r="27">
      <c r="A27" s="67" t="inlineStr">
        <is>
          <t>R26</t>
        </is>
      </c>
      <c r="B27" s="67" t="inlineStr">
        <is>
          <t>Alla pensione</t>
        </is>
      </c>
      <c r="C27" s="67" t="inlineStr">
        <is>
          <t>Erogazione frazionata</t>
        </is>
      </c>
      <c r="D27" s="67" t="inlineStr">
        <is>
          <t>E l'erogazione frazionata?</t>
        </is>
      </c>
      <c r="E27" s="67" t="inlineStr">
        <is>
          <t>Dal 31 ottobre 2026: il montante viene pagato a rate per un periodo che scegli tu, di almeno 5 anni, indipendente dalla speranza di vita. Tassazione meno favorevole: dal 20% al 15%.</t>
        </is>
      </c>
      <c r="F27" s="67" t="inlineStr">
        <is>
          <t>almeno 5 anni</t>
        </is>
      </c>
      <c r="G27" s="67" t="inlineStr">
        <is>
          <t>In parte</t>
        </is>
      </c>
      <c r="H27" s="67" t="inlineStr">
        <is>
          <t>Periodicità e numero minimo di rate, comparto, costi</t>
        </is>
      </c>
      <c r="I27" s="67" t="inlineStr">
        <is>
          <t>D.Lgs. 252/2005, art. 11 c. 3-bis e 6-ter</t>
        </is>
      </c>
      <c r="J27" s="68" t="inlineStr">
        <is>
          <t>COVIP – Istruzioni sulle prestazioni (deliberazione 25 giugno 2026)</t>
        </is>
      </c>
      <c r="K27" s="76" t="n">
        <v>46303</v>
      </c>
      <c r="L27" s="76" t="n">
        <v>46326</v>
      </c>
      <c r="M27" s="67" t="inlineStr">
        <is>
          <t>Decorrenza rinviata dal 1/7 al 31/10/2026 dal D.L. 62/2026, convertito dalla L. 112/2026.</t>
        </is>
      </c>
    </row>
    <row r="28">
      <c r="A28" s="67" t="inlineStr">
        <is>
          <t>R27</t>
        </is>
      </c>
      <c r="B28" s="67" t="inlineStr">
        <is>
          <t>Alla pensione</t>
        </is>
      </c>
      <c r="C28" s="67" t="inlineStr">
        <is>
          <t>Combinare e cambiare</t>
        </is>
      </c>
      <c r="D28" s="67" t="inlineStr">
        <is>
          <t>Posso combinare le opzioni o cambiarle dopo?</t>
        </is>
      </c>
      <c r="E28" s="67" t="inlineStr">
        <is>
          <t>Il capitale (fino al 50%) si abbina a una sola delle altre forme. Rendita a durata definita, prelievi e frazionata non si combinano tra loro né con la vitalizia e non si possono revocare, ma il residuo si può sempre convertire in rendita vitalizia (anche trasferendolo a un altro fondo). Durante l'erogazione non puoi più chiedere anticipazioni, RITA o trasferimenti né versare (salvo un nuovo lavoro con TFR); puoi cambiare comparto.</t>
        </is>
      </c>
      <c r="F28" s="67" t="n"/>
      <c r="G28" s="67" t="inlineStr">
        <is>
          <t>In parte</t>
        </is>
      </c>
      <c r="H28" s="67" t="inlineStr">
        <is>
          <t>Condizioni per convertire il residuo in rendita vitalizia</t>
        </is>
      </c>
      <c r="I28" s="67" t="inlineStr">
        <is>
          <t>Istruzioni COVIP del 25 giugno 2026, par. 4</t>
        </is>
      </c>
      <c r="J28" s="68" t="inlineStr">
        <is>
          <t>COVIP – Istruzioni sulle prestazioni (deliberazione 25 giugno 2026)</t>
        </is>
      </c>
      <c r="K28" s="76" t="n">
        <v>46303</v>
      </c>
      <c r="L28" s="76" t="n"/>
      <c r="M28" s="67" t="n"/>
    </row>
    <row r="29">
      <c r="A29" s="67" t="inlineStr">
        <is>
          <t>R28</t>
        </is>
      </c>
      <c r="B29" s="67" t="inlineStr">
        <is>
          <t>In caso di decesso</t>
        </is>
      </c>
      <c r="C29" s="67" t="inlineStr">
        <is>
          <t>Decesso prima della pensione</t>
        </is>
      </c>
      <c r="D29" s="67" t="inlineStr">
        <is>
          <t>Se muoio prima della pensione?</t>
        </is>
      </c>
      <c r="E29" s="67" t="inlineStr">
        <is>
          <t>L'intera posizione va alle persone (o agli enti) che hai designato; se non hai designato nessuno, agli eredi. È un diritto proprio dei beneficiari e non fa parte dell'eredità: spetta anche a chi rinuncia all'eredità. Tassazione dal 15% al 9%.</t>
        </is>
      </c>
      <c r="F29" s="67" t="n"/>
      <c r="G29" s="67" t="inlineStr">
        <is>
          <t>Sì</t>
        </is>
      </c>
      <c r="H29" s="67" t="inlineStr">
        <is>
          <t>Modulo e modalità per designare i beneficiari</t>
        </is>
      </c>
      <c r="I29" s="67" t="inlineStr">
        <is>
          <t>D.Lgs. 252/2005, art. 14 c. 3–4</t>
        </is>
      </c>
      <c r="J29" s="68" t="inlineStr">
        <is>
          <t>COVIP – Risposta a quesito: premorienza e rinuncia all'eredità (ottobre 2009)</t>
        </is>
      </c>
      <c r="K29" s="76" t="n">
        <v>46303</v>
      </c>
      <c r="L29" s="76" t="n"/>
      <c r="M29" s="67" t="inlineStr">
        <is>
          <t>Diritto “iure proprio”: Orientamenti COVIP del 2008 richiamati nella risposta di ottobre 2009. Per i dipendenti pubblici nei fondi loro dedicati valgono regole diverse (D.Lgs. 124/1993).</t>
        </is>
      </c>
    </row>
    <row r="30">
      <c r="A30" s="67" t="inlineStr">
        <is>
          <t>R29</t>
        </is>
      </c>
      <c r="B30" s="67" t="inlineStr">
        <is>
          <t>In caso di decesso</t>
        </is>
      </c>
      <c r="C30" s="67" t="inlineStr">
        <is>
          <t>Senza beneficiari né eredi</t>
        </is>
      </c>
      <c r="D30" s="67" t="inlineStr">
        <is>
          <t>E se non ci sono beneficiari né eredi?</t>
        </is>
      </c>
      <c r="E30" s="67" t="inlineStr">
        <is>
          <t>Nelle adesioni individuali (come la maggior parte di quelle ai fondi aperti) la posizione va a finalità sociali; nelle adesioni collettive resta al fondo, a vantaggio degli altri iscritti.</t>
        </is>
      </c>
      <c r="F30" s="67" t="n"/>
      <c r="G30" s="67" t="inlineStr">
        <is>
          <t>Sì</t>
        </is>
      </c>
      <c r="H30" s="67" t="n"/>
      <c r="I30" s="67" t="inlineStr">
        <is>
          <t>D.Lgs. 252/2005, art. 14 c. 3</t>
        </is>
      </c>
      <c r="J30" s="68" t="inlineStr">
        <is>
          <t>D.Lgs. 252/2005 – testo COVIP aggiornato alla Legge 199/2025</t>
        </is>
      </c>
      <c r="K30" s="76" t="n">
        <v>46303</v>
      </c>
      <c r="L30" s="76" t="n"/>
      <c r="M30" s="67" t="n"/>
    </row>
    <row r="31">
      <c r="A31" s="67" t="inlineStr">
        <is>
          <t>R30</t>
        </is>
      </c>
      <c r="B31" s="67" t="inlineStr">
        <is>
          <t>In caso di decesso</t>
        </is>
      </c>
      <c r="C31" s="67" t="inlineStr">
        <is>
          <t>Decesso durante la rendita vitalizia</t>
        </is>
      </c>
      <c r="D31" s="67" t="inlineStr">
        <is>
          <t>E se muoio mentre ricevo la rendita vitalizia?</t>
        </is>
      </c>
      <c r="E31" s="67" t="inlineStr">
        <is>
          <t>Dipende dal tipo scelto. Vitalizia base: si ferma, e il capitale residuo resta all'assicurazione (serve a pagare chi vive più a lungo). Reversibile: continua alla persona indicata fino alla sua morte. Certa e poi vitalizia: le rate del periodo certo vanno alla persona indicata. Controassicurata: la persona indicata riceve il capitale residuo.</t>
        </is>
      </c>
      <c r="F31" s="67" t="n"/>
      <c r="G31" s="67" t="inlineStr">
        <is>
          <t>No</t>
        </is>
      </c>
      <c r="H31" s="67" t="inlineStr">
        <is>
          <t>Tipi di rendita offerti e loro condizioni</t>
        </is>
      </c>
      <c r="I31" s="67" t="inlineStr">
        <is>
          <t>D.Lgs. 252/2005, art. 11 c. 5</t>
        </is>
      </c>
      <c r="J31" s="68" t="inlineStr">
        <is>
          <t>COVIP – Esempio di supplemento alla Nota informativa per i fondi aperti (28 luglio 2026)</t>
        </is>
      </c>
      <c r="K31" s="76" t="n">
        <v>46303</v>
      </c>
      <c r="L31" s="76" t="n"/>
      <c r="M31" s="67" t="n"/>
    </row>
    <row r="32">
      <c r="A32" s="67" t="inlineStr">
        <is>
          <t>R31</t>
        </is>
      </c>
      <c r="B32" s="67" t="inlineStr">
        <is>
          <t>In caso di decesso</t>
        </is>
      </c>
      <c r="C32" s="67" t="inlineStr">
        <is>
          <t>Decesso con le nuove forme</t>
        </is>
      </c>
      <c r="D32" s="67" t="inlineStr">
        <is>
          <t>E con le nuove forme (durata definita, prelievi, frazionata)?</t>
        </is>
      </c>
      <c r="E32" s="67" t="inlineStr">
        <is>
          <t>Il capitale residuo, rimasto investito, viene riscattato dalle persone che hai indicato quando hai scelto la prestazione (indicarle è obbligatorio, e puoi cambiarle in seguito). Tassazione come il capitale.</t>
        </is>
      </c>
      <c r="F32" s="67" t="n"/>
      <c r="G32" s="67" t="inlineStr">
        <is>
          <t>Sì</t>
        </is>
      </c>
      <c r="H32" s="67" t="n"/>
      <c r="I32" s="67" t="inlineStr">
        <is>
          <t>D.Lgs. 252/2005, art. 11 c. 3-quinquies e 6-bis</t>
        </is>
      </c>
      <c r="J32" s="68" t="inlineStr">
        <is>
          <t>COVIP – Istruzioni sulle prestazioni (deliberazione 25 giugno 2026)</t>
        </is>
      </c>
      <c r="K32" s="76" t="n">
        <v>46303</v>
      </c>
      <c r="L32" s="76" t="n">
        <v>46204</v>
      </c>
      <c r="M32" s="67" t="n"/>
    </row>
    <row r="33">
      <c r="A33" s="67" t="inlineStr">
        <is>
          <t>R32</t>
        </is>
      </c>
      <c r="B33" s="67" t="inlineStr">
        <is>
          <t>In caso di decesso</t>
        </is>
      </c>
      <c r="C33" s="67" t="inlineStr">
        <is>
          <t>Dopo i beneficiari</t>
        </is>
      </c>
      <c r="D33" s="67" t="inlineStr">
        <is>
          <t>E quando muoiono anche loro?</t>
        </is>
      </c>
      <c r="E33" s="67" t="inlineStr">
        <is>
          <t>Le somme già pagate ai beneficiari (riscatto della posizione, capitale residuo, capitale preso alla pensione) diventano loro a tutti gli effetti: alla loro morte seguono le normali regole della loro successione. Le rendite invece si estinguono: una reversibile si ferma alla morte del beneficiario e non lascia nulla. Per le rate residue di una rendita certa, se muore anche il beneficiario, contano le condizioni del contratto.</t>
        </is>
      </c>
      <c r="F33" s="67" t="n"/>
      <c r="G33" s="67" t="inlineStr">
        <is>
          <t>In parte</t>
        </is>
      </c>
      <c r="H33" s="67" t="inlineStr">
        <is>
          <t>Condizioni della rendita certa e della reversibile</t>
        </is>
      </c>
      <c r="I33" s="67" t="inlineStr">
        <is>
          <t>D.Lgs. 252/2005, art. 11 c. 5 e art. 14 c. 3</t>
        </is>
      </c>
      <c r="J33" s="68" t="inlineStr">
        <is>
          <t>COVIP – Esempio di supplemento alla Nota informativa per i fondi aperti (28 luglio 2026)</t>
        </is>
      </c>
      <c r="K33" s="76" t="n">
        <v>46303</v>
      </c>
      <c r="L33" s="76" t="n"/>
      <c r="M33" s="67" t="inlineStr">
        <is>
          <t>Sintesi ricavata dalle regole generali: per i casi concreti contano le condizioni della rendita e, per l'imposta di successione, il parere di un professionista.</t>
        </is>
      </c>
    </row>
  </sheetData>
  <autoFilter ref="A1:M33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8" customWidth="1" min="10" max="10"/>
    <col width="14" customWidth="1" min="12" max="12"/>
    <col width="80" customWidth="1" min="13" max="13"/>
  </cols>
  <sheetData>
    <row r="1">
      <c r="A1" s="66" t="inlineStr">
        <is>
          <t>Età</t>
        </is>
      </c>
      <c r="B1" s="66" t="inlineStr">
        <is>
          <t>Sopravviventi – uomini</t>
        </is>
      </c>
      <c r="C1" s="66" t="inlineStr">
        <is>
          <t>Sopravviventi – donne</t>
        </is>
      </c>
      <c r="D1" s="66" t="inlineStr">
        <is>
          <t>Sopravviventi – uomini e donne</t>
        </is>
      </c>
      <c r="E1" s="66" t="inlineStr">
        <is>
          <t>Speranza di vita – uomini</t>
        </is>
      </c>
      <c r="F1" s="66" t="inlineStr">
        <is>
          <t>Speranza di vita – donne</t>
        </is>
      </c>
      <c r="G1" s="66" t="inlineStr">
        <is>
          <t>Speranza di vita – uomini e donne</t>
        </is>
      </c>
      <c r="H1" s="66" t="inlineStr">
        <is>
          <t>% vivi tra i 67enni – uomini</t>
        </is>
      </c>
      <c r="I1" s="66" t="inlineStr">
        <is>
          <t>% vivi tra i 67enni – donne</t>
        </is>
      </c>
      <c r="J1" s="66" t="inlineStr">
        <is>
          <t>% vivi tra i 67enni – uomini e donne</t>
        </is>
      </c>
      <c r="L1" s="70" t="inlineStr">
        <is>
          <t>Fonte</t>
        </is>
      </c>
      <c r="M1" t="inlineStr">
        <is>
          <t>ISTAT – Tavole di mortalità della popolazione residente, Italia 2025 (stima)</t>
        </is>
      </c>
    </row>
    <row r="2">
      <c r="A2" t="n">
        <v>60</v>
      </c>
      <c r="B2" s="71" t="n">
        <v>93566</v>
      </c>
      <c r="C2" s="71" t="n">
        <v>96266</v>
      </c>
      <c r="D2" s="71" t="n">
        <v>94880</v>
      </c>
      <c r="E2" s="72" t="n">
        <v>24.246</v>
      </c>
      <c r="F2" s="72" t="n">
        <v>27.324</v>
      </c>
      <c r="G2" s="72" t="n">
        <v>25.771</v>
      </c>
      <c r="L2" s="70" t="inlineStr">
        <is>
          <t>Link</t>
        </is>
      </c>
      <c r="M2" s="73" t="inlineStr">
        <is>
          <t>https://demo.istat.it/app/?i=TVM&amp;l=it</t>
        </is>
      </c>
    </row>
    <row r="3">
      <c r="A3" t="n">
        <v>61</v>
      </c>
      <c r="B3" s="71" t="n">
        <v>93038</v>
      </c>
      <c r="C3" s="71" t="n">
        <v>95955</v>
      </c>
      <c r="D3" s="71" t="n">
        <v>94458</v>
      </c>
      <c r="E3" s="72" t="n">
        <v>23.381</v>
      </c>
      <c r="F3" s="72" t="n">
        <v>26.411</v>
      </c>
      <c r="G3" s="72" t="n">
        <v>24.884</v>
      </c>
      <c r="L3" s="70" t="inlineStr">
        <is>
          <t>Consultata il</t>
        </is>
      </c>
      <c r="M3" s="77" t="n">
        <v>46303</v>
      </c>
    </row>
    <row r="4">
      <c r="A4" t="n">
        <v>62</v>
      </c>
      <c r="B4" s="71" t="n">
        <v>92459</v>
      </c>
      <c r="C4" s="71" t="n">
        <v>95613</v>
      </c>
      <c r="D4" s="71" t="n">
        <v>93994</v>
      </c>
      <c r="E4" s="72" t="n">
        <v>22.524</v>
      </c>
      <c r="F4" s="72" t="n">
        <v>25.504</v>
      </c>
      <c r="G4" s="72" t="n">
        <v>24.005</v>
      </c>
      <c r="L4" s="70" t="inlineStr">
        <is>
          <t>Note</t>
        </is>
      </c>
      <c r="M4" t="inlineStr">
        <is>
          <t>Valori 2025 stimati dall'ISTAT (colonna Informazioni = s). Sopravviventi su 100.000 nati; % vivi tra i 67enni = sopravviventi all'età / sopravviventi a 67 anni (formula).</t>
        </is>
      </c>
    </row>
    <row r="5">
      <c r="A5" t="n">
        <v>63</v>
      </c>
      <c r="B5" s="71" t="n">
        <v>91825</v>
      </c>
      <c r="C5" s="71" t="n">
        <v>95242</v>
      </c>
      <c r="D5" s="71" t="n">
        <v>93488</v>
      </c>
      <c r="E5" s="72" t="n">
        <v>21.676</v>
      </c>
      <c r="F5" s="72" t="n">
        <v>24.601</v>
      </c>
      <c r="G5" s="72" t="n">
        <v>23.132</v>
      </c>
    </row>
    <row r="6">
      <c r="A6" t="n">
        <v>64</v>
      </c>
      <c r="B6" s="71" t="n">
        <v>91127</v>
      </c>
      <c r="C6" s="71" t="n">
        <v>94840</v>
      </c>
      <c r="D6" s="71" t="n">
        <v>92934</v>
      </c>
      <c r="E6" s="72" t="n">
        <v>20.839</v>
      </c>
      <c r="F6" s="72" t="n">
        <v>23.704</v>
      </c>
      <c r="G6" s="72" t="n">
        <v>22.267</v>
      </c>
    </row>
    <row r="7">
      <c r="A7" t="n">
        <v>65</v>
      </c>
      <c r="B7" s="71" t="n">
        <v>90360</v>
      </c>
      <c r="C7" s="71" t="n">
        <v>94394</v>
      </c>
      <c r="D7" s="71" t="n">
        <v>92324</v>
      </c>
      <c r="E7" s="72" t="n">
        <v>20.011</v>
      </c>
      <c r="F7" s="72" t="n">
        <v>22.813</v>
      </c>
      <c r="G7" s="72" t="n">
        <v>21.411</v>
      </c>
    </row>
    <row r="8">
      <c r="A8" t="n">
        <v>66</v>
      </c>
      <c r="B8" s="71" t="n">
        <v>89512</v>
      </c>
      <c r="C8" s="71" t="n">
        <v>93899</v>
      </c>
      <c r="D8" s="71" t="n">
        <v>91648</v>
      </c>
      <c r="E8" s="72" t="n">
        <v>19.196</v>
      </c>
      <c r="F8" s="72" t="n">
        <v>21.931</v>
      </c>
      <c r="G8" s="72" t="n">
        <v>20.565</v>
      </c>
    </row>
    <row r="9">
      <c r="A9" t="n">
        <v>67</v>
      </c>
      <c r="B9" s="71" t="n">
        <v>88590</v>
      </c>
      <c r="C9" s="71" t="n">
        <v>93347</v>
      </c>
      <c r="D9" s="71" t="n">
        <v>90906</v>
      </c>
      <c r="E9" s="72" t="n">
        <v>18.391</v>
      </c>
      <c r="F9" s="72" t="n">
        <v>21.057</v>
      </c>
      <c r="G9" s="72" t="n">
        <v>19.729</v>
      </c>
      <c r="H9" s="75">
        <f>B9/B$9</f>
        <v>1</v>
      </c>
      <c r="I9" s="75">
        <f>C9/C$9</f>
        <v>1</v>
      </c>
      <c r="J9" s="75">
        <f>D9/D$9</f>
        <v>1</v>
      </c>
    </row>
    <row r="10">
      <c r="A10" t="n">
        <v>68</v>
      </c>
      <c r="B10" s="71" t="n">
        <v>87584</v>
      </c>
      <c r="C10" s="71" t="n">
        <v>92730</v>
      </c>
      <c r="D10" s="71" t="n">
        <v>90090</v>
      </c>
      <c r="E10" s="72" t="n">
        <v>17.596</v>
      </c>
      <c r="F10" s="72" t="n">
        <v>20.194</v>
      </c>
      <c r="G10" s="72" t="n">
        <v>18.903</v>
      </c>
      <c r="H10" s="75">
        <f>B10/B$9</f>
        <v>0.9886443165142793</v>
      </c>
      <c r="I10" s="75">
        <f>C10/C$9</f>
        <v>0.993390253570013</v>
      </c>
      <c r="J10" s="75">
        <f>D10/D$9</f>
        <v>0.9910236948056234</v>
      </c>
    </row>
    <row r="11">
      <c r="A11" t="n">
        <v>69</v>
      </c>
      <c r="B11" s="71" t="n">
        <v>86487</v>
      </c>
      <c r="C11" s="71" t="n">
        <v>92059</v>
      </c>
      <c r="D11" s="71" t="n">
        <v>89201</v>
      </c>
      <c r="E11" s="72" t="n">
        <v>16.813</v>
      </c>
      <c r="F11" s="72" t="n">
        <v>19.338</v>
      </c>
      <c r="G11" s="72" t="n">
        <v>18.086</v>
      </c>
      <c r="H11" s="75">
        <f>B11/B$9</f>
        <v>0.9762614290551981</v>
      </c>
      <c r="I11" s="75">
        <f>C11/C$9</f>
        <v>0.9862020204184387</v>
      </c>
      <c r="J11" s="75">
        <f>D11/D$9</f>
        <v>0.9812443623083185</v>
      </c>
    </row>
    <row r="12">
      <c r="A12" t="n">
        <v>70</v>
      </c>
      <c r="B12" s="71" t="n">
        <v>85305</v>
      </c>
      <c r="C12" s="71" t="n">
        <v>91334</v>
      </c>
      <c r="D12" s="71" t="n">
        <v>88241</v>
      </c>
      <c r="E12" s="72" t="n">
        <v>16.039</v>
      </c>
      <c r="F12" s="72" t="n">
        <v>18.487</v>
      </c>
      <c r="G12" s="72" t="n">
        <v>17.278</v>
      </c>
      <c r="H12" s="75">
        <f>B12/B$9</f>
        <v>0.9629190653572638</v>
      </c>
      <c r="I12" s="75">
        <f>C12/C$9</f>
        <v>0.9784353005452773</v>
      </c>
      <c r="J12" s="75">
        <f>D12/D$9</f>
        <v>0.9706840032561107</v>
      </c>
    </row>
    <row r="13">
      <c r="A13" t="n">
        <v>71</v>
      </c>
      <c r="B13" s="71" t="n">
        <v>84034</v>
      </c>
      <c r="C13" s="71" t="n">
        <v>90544</v>
      </c>
      <c r="D13" s="71" t="n">
        <v>87204</v>
      </c>
      <c r="E13" s="72" t="n">
        <v>15.274</v>
      </c>
      <c r="F13" s="72" t="n">
        <v>17.644</v>
      </c>
      <c r="G13" s="72" t="n">
        <v>16.477</v>
      </c>
      <c r="H13" s="75">
        <f>B13/B$9</f>
        <v>0.9485720735974715</v>
      </c>
      <c r="I13" s="75">
        <f>C13/C$9</f>
        <v>0.969972254062798</v>
      </c>
      <c r="J13" s="75">
        <f>D13/D$9</f>
        <v>0.9592766154049238</v>
      </c>
    </row>
    <row r="14">
      <c r="A14" t="n">
        <v>72</v>
      </c>
      <c r="B14" s="71" t="n">
        <v>82640</v>
      </c>
      <c r="C14" s="71" t="n">
        <v>89681</v>
      </c>
      <c r="D14" s="71" t="n">
        <v>86069</v>
      </c>
      <c r="E14" s="72" t="n">
        <v>14.523</v>
      </c>
      <c r="F14" s="72" t="n">
        <v>16.809</v>
      </c>
      <c r="G14" s="72" t="n">
        <v>15.688</v>
      </c>
      <c r="H14" s="75">
        <f>B14/B$9</f>
        <v>0.9328366632802799</v>
      </c>
      <c r="I14" s="75">
        <f>C14/C$9</f>
        <v>0.9607271792344693</v>
      </c>
      <c r="J14" s="75">
        <f>D14/D$9</f>
        <v>0.9467911909004906</v>
      </c>
    </row>
    <row r="15">
      <c r="A15" t="n">
        <v>73</v>
      </c>
      <c r="B15" s="71" t="n">
        <v>81093</v>
      </c>
      <c r="C15" s="71" t="n">
        <v>88718</v>
      </c>
      <c r="D15" s="71" t="n">
        <v>84808</v>
      </c>
      <c r="E15" s="72" t="n">
        <v>13.791</v>
      </c>
      <c r="F15" s="72" t="n">
        <v>15.986</v>
      </c>
      <c r="G15" s="72" t="n">
        <v>14.914</v>
      </c>
      <c r="H15" s="75">
        <f>B15/B$9</f>
        <v>0.9153741957331527</v>
      </c>
      <c r="I15" s="75">
        <f>C15/C$9</f>
        <v>0.9504108326994976</v>
      </c>
      <c r="J15" s="75">
        <f>D15/D$9</f>
        <v>0.9329197192704552</v>
      </c>
    </row>
    <row r="16">
      <c r="A16" t="n">
        <v>74</v>
      </c>
      <c r="B16" s="71" t="n">
        <v>79402</v>
      </c>
      <c r="C16" s="71" t="n">
        <v>87651</v>
      </c>
      <c r="D16" s="71" t="n">
        <v>83421</v>
      </c>
      <c r="E16" s="72" t="n">
        <v>13.074</v>
      </c>
      <c r="F16" s="72" t="n">
        <v>15.175</v>
      </c>
      <c r="G16" s="72" t="n">
        <v>14.153</v>
      </c>
      <c r="H16" s="75">
        <f>B16/B$9</f>
        <v>0.8962862625578508</v>
      </c>
      <c r="I16" s="75">
        <f>C16/C$9</f>
        <v>0.9389803635896172</v>
      </c>
      <c r="J16" s="75">
        <f>D16/D$9</f>
        <v>0.9176622005148175</v>
      </c>
    </row>
    <row r="17">
      <c r="A17" t="n">
        <v>75</v>
      </c>
      <c r="B17" s="71" t="n">
        <v>77532</v>
      </c>
      <c r="C17" s="71" t="n">
        <v>86446</v>
      </c>
      <c r="D17" s="71" t="n">
        <v>81875</v>
      </c>
      <c r="E17" s="72" t="n">
        <v>12.377</v>
      </c>
      <c r="F17" s="72" t="n">
        <v>14.379</v>
      </c>
      <c r="G17" s="72" t="n">
        <v>13.411</v>
      </c>
      <c r="H17" s="75">
        <f>B17/B$9</f>
        <v>0.8751777853030817</v>
      </c>
      <c r="I17" s="75">
        <f>C17/C$9</f>
        <v>0.9260715395245697</v>
      </c>
      <c r="J17" s="75">
        <f>D17/D$9</f>
        <v>0.9006556222911579</v>
      </c>
    </row>
    <row r="18">
      <c r="A18" t="n">
        <v>76</v>
      </c>
      <c r="B18" s="71" t="n">
        <v>75512</v>
      </c>
      <c r="C18" s="71" t="n">
        <v>85107</v>
      </c>
      <c r="D18" s="71" t="n">
        <v>80188</v>
      </c>
      <c r="E18" s="72" t="n">
        <v>11.695</v>
      </c>
      <c r="F18" s="72" t="n">
        <v>13.598</v>
      </c>
      <c r="G18" s="72" t="n">
        <v>12.683</v>
      </c>
      <c r="H18" s="75">
        <f>B18/B$9</f>
        <v>0.8523761146856305</v>
      </c>
      <c r="I18" s="75">
        <f>C18/C$9</f>
        <v>0.9117272113726205</v>
      </c>
      <c r="J18" s="75">
        <f>D18/D$9</f>
        <v>0.8820979913317053</v>
      </c>
    </row>
    <row r="19">
      <c r="A19" t="n">
        <v>77</v>
      </c>
      <c r="B19" s="71" t="n">
        <v>73298</v>
      </c>
      <c r="C19" s="71" t="n">
        <v>83609</v>
      </c>
      <c r="D19" s="71" t="n">
        <v>78323</v>
      </c>
      <c r="E19" s="72" t="n">
        <v>11.033</v>
      </c>
      <c r="F19" s="72" t="n">
        <v>12.832</v>
      </c>
      <c r="G19" s="72" t="n">
        <v>11.973</v>
      </c>
      <c r="H19" s="75">
        <f>B19/B$9</f>
        <v>0.8273845806524438</v>
      </c>
      <c r="I19" s="75">
        <f>C19/C$9</f>
        <v>0.895679561207109</v>
      </c>
      <c r="J19" s="75">
        <f>D19/D$9</f>
        <v>0.8615822937979891</v>
      </c>
    </row>
    <row r="20">
      <c r="A20" t="n">
        <v>78</v>
      </c>
      <c r="B20" s="71" t="n">
        <v>70994</v>
      </c>
      <c r="C20" s="71" t="n">
        <v>81960</v>
      </c>
      <c r="D20" s="71" t="n">
        <v>76339</v>
      </c>
      <c r="E20" s="72" t="n">
        <v>10.375</v>
      </c>
      <c r="F20" s="72" t="n">
        <v>12.08</v>
      </c>
      <c r="G20" s="72" t="n">
        <v>11.271</v>
      </c>
      <c r="H20" s="75">
        <f>B20/B$9</f>
        <v>0.8013771306016481</v>
      </c>
      <c r="I20" s="75">
        <f>C20/C$9</f>
        <v>0.8780142907645666</v>
      </c>
      <c r="J20" s="75">
        <f>D20/D$9</f>
        <v>0.8397575517567597</v>
      </c>
    </row>
    <row r="21">
      <c r="A21" t="n">
        <v>79</v>
      </c>
      <c r="B21" s="71" t="n">
        <v>68531</v>
      </c>
      <c r="C21" s="71" t="n">
        <v>80119</v>
      </c>
      <c r="D21" s="71" t="n">
        <v>74180</v>
      </c>
      <c r="E21" s="72" t="n">
        <v>9.73</v>
      </c>
      <c r="F21" s="72" t="n">
        <v>11.347</v>
      </c>
      <c r="G21" s="72" t="n">
        <v>10.584</v>
      </c>
      <c r="H21" s="75">
        <f>B21/B$9</f>
        <v>0.7735748955864094</v>
      </c>
      <c r="I21" s="75">
        <f>C21/C$9</f>
        <v>0.8582921786452699</v>
      </c>
      <c r="J21" s="75">
        <f>D21/D$9</f>
        <v>0.8160077442633049</v>
      </c>
    </row>
    <row r="22">
      <c r="A22" t="n">
        <v>80</v>
      </c>
      <c r="B22" s="71" t="n">
        <v>65866</v>
      </c>
      <c r="C22" s="71" t="n">
        <v>78052</v>
      </c>
      <c r="D22" s="71" t="n">
        <v>71807</v>
      </c>
      <c r="E22" s="72" t="n">
        <v>9.103</v>
      </c>
      <c r="F22" s="72" t="n">
        <v>10.634</v>
      </c>
      <c r="G22" s="72" t="n">
        <v>9.917999999999999</v>
      </c>
      <c r="H22" s="75">
        <f>B22/B$9</f>
        <v>0.7434924935094255</v>
      </c>
      <c r="I22" s="75">
        <f>C22/C$9</f>
        <v>0.8361489924689599</v>
      </c>
      <c r="J22" s="75">
        <f>D22/D$9</f>
        <v>0.7899038567311288</v>
      </c>
    </row>
    <row r="23">
      <c r="A23" t="n">
        <v>81</v>
      </c>
      <c r="B23" s="71" t="n">
        <v>62947</v>
      </c>
      <c r="C23" s="71" t="n">
        <v>75715</v>
      </c>
      <c r="D23" s="71" t="n">
        <v>69173</v>
      </c>
      <c r="E23" s="72" t="n">
        <v>8.502000000000001</v>
      </c>
      <c r="F23" s="72" t="n">
        <v>9.946999999999999</v>
      </c>
      <c r="G23" s="72" t="n">
        <v>9.276</v>
      </c>
      <c r="H23" s="75">
        <f>B23/B$9</f>
        <v>0.7105429506716334</v>
      </c>
      <c r="I23" s="75">
        <f>C23/C$9</f>
        <v>0.8111133726847141</v>
      </c>
      <c r="J23" s="75">
        <f>D23/D$9</f>
        <v>0.7609288715816338</v>
      </c>
    </row>
    <row r="24">
      <c r="A24" t="n">
        <v>82</v>
      </c>
      <c r="B24" s="71" t="n">
        <v>59800</v>
      </c>
      <c r="C24" s="71" t="n">
        <v>73148</v>
      </c>
      <c r="D24" s="71" t="n">
        <v>66310</v>
      </c>
      <c r="E24" s="72" t="n">
        <v>7.923</v>
      </c>
      <c r="F24" s="72" t="n">
        <v>9.278</v>
      </c>
      <c r="G24" s="72" t="n">
        <v>8.654999999999999</v>
      </c>
      <c r="H24" s="75">
        <f>B24/B$9</f>
        <v>0.6750197539225646</v>
      </c>
      <c r="I24" s="75">
        <f>C24/C$9</f>
        <v>0.7836138279751893</v>
      </c>
      <c r="J24" s="75">
        <f>D24/D$9</f>
        <v>0.7294348007832266</v>
      </c>
    </row>
    <row r="25">
      <c r="A25" t="n">
        <v>83</v>
      </c>
      <c r="B25" s="71" t="n">
        <v>56305</v>
      </c>
      <c r="C25" s="71" t="n">
        <v>70245</v>
      </c>
      <c r="D25" s="71" t="n">
        <v>63105</v>
      </c>
      <c r="E25" s="72" t="n">
        <v>7.384</v>
      </c>
      <c r="F25" s="72" t="n">
        <v>8.641</v>
      </c>
      <c r="G25" s="72" t="n">
        <v>8.07</v>
      </c>
      <c r="H25" s="75">
        <f>B25/B$9</f>
        <v>0.6355683485720736</v>
      </c>
      <c r="I25" s="75">
        <f>C25/C$9</f>
        <v>0.7525148103313444</v>
      </c>
      <c r="J25" s="75">
        <f>D25/D$9</f>
        <v>0.6941786020724705</v>
      </c>
    </row>
    <row r="26">
      <c r="A26" t="n">
        <v>84</v>
      </c>
      <c r="B26" s="71" t="n">
        <v>52600</v>
      </c>
      <c r="C26" s="71" t="n">
        <v>67053</v>
      </c>
      <c r="D26" s="71" t="n">
        <v>59652</v>
      </c>
      <c r="E26" s="72" t="n">
        <v>6.869</v>
      </c>
      <c r="F26" s="72" t="n">
        <v>8.028</v>
      </c>
      <c r="G26" s="72" t="n">
        <v>7.508</v>
      </c>
      <c r="H26" s="75">
        <f>B26/B$9</f>
        <v>0.5937464725138277</v>
      </c>
      <c r="I26" s="75">
        <f>C26/C$9</f>
        <v>0.7183198174553012</v>
      </c>
      <c r="J26" s="75">
        <f>D26/D$9</f>
        <v>0.6561943106065606</v>
      </c>
    </row>
    <row r="27">
      <c r="A27" t="n">
        <v>85</v>
      </c>
      <c r="B27" s="71" t="n">
        <v>48716</v>
      </c>
      <c r="C27" s="71" t="n">
        <v>63542</v>
      </c>
      <c r="D27" s="71" t="n">
        <v>55952</v>
      </c>
      <c r="E27" s="72" t="n">
        <v>6.377</v>
      </c>
      <c r="F27" s="72" t="n">
        <v>7.444</v>
      </c>
      <c r="G27" s="72" t="n">
        <v>6.971</v>
      </c>
      <c r="H27" s="75">
        <f>B27/B$9</f>
        <v>0.5499040523761147</v>
      </c>
      <c r="I27" s="75">
        <f>C27/C$9</f>
        <v>0.680707467835067</v>
      </c>
      <c r="J27" s="75">
        <f>D27/D$9</f>
        <v>0.6154929267595098</v>
      </c>
    </row>
    <row r="28">
      <c r="A28" t="n">
        <v>86</v>
      </c>
      <c r="B28" s="71" t="n">
        <v>44669</v>
      </c>
      <c r="C28" s="71" t="n">
        <v>59750</v>
      </c>
      <c r="D28" s="71" t="n">
        <v>52032</v>
      </c>
      <c r="E28" s="72" t="n">
        <v>5.909</v>
      </c>
      <c r="F28" s="72" t="n">
        <v>6.885</v>
      </c>
      <c r="G28" s="72" t="n">
        <v>6.459</v>
      </c>
      <c r="H28" s="75">
        <f>B28/B$9</f>
        <v>0.5042216954509539</v>
      </c>
      <c r="I28" s="75">
        <f>C28/C$9</f>
        <v>0.6400848447191662</v>
      </c>
      <c r="J28" s="75">
        <f>D28/D$9</f>
        <v>0.5723714606296614</v>
      </c>
    </row>
    <row r="29">
      <c r="A29" t="n">
        <v>87</v>
      </c>
      <c r="B29" s="71" t="n">
        <v>40584</v>
      </c>
      <c r="C29" s="71" t="n">
        <v>55759</v>
      </c>
      <c r="D29" s="71" t="n">
        <v>47995</v>
      </c>
      <c r="E29" s="72" t="n">
        <v>5.454</v>
      </c>
      <c r="F29" s="72" t="n">
        <v>6.342</v>
      </c>
      <c r="G29" s="72" t="n">
        <v>5.96</v>
      </c>
      <c r="H29" s="75">
        <f>B29/B$9</f>
        <v>0.45811039620724686</v>
      </c>
      <c r="I29" s="75">
        <f>C29/C$9</f>
        <v>0.5973303909070458</v>
      </c>
      <c r="J29" s="75">
        <f>D29/D$9</f>
        <v>0.5279629507403252</v>
      </c>
    </row>
    <row r="30">
      <c r="A30" t="n">
        <v>88</v>
      </c>
      <c r="B30" s="71" t="n">
        <v>36395</v>
      </c>
      <c r="C30" s="71" t="n">
        <v>51478</v>
      </c>
      <c r="D30" s="71" t="n">
        <v>43763</v>
      </c>
      <c r="E30" s="72" t="n">
        <v>5.024</v>
      </c>
      <c r="F30" s="72" t="n">
        <v>5.828</v>
      </c>
      <c r="G30" s="72" t="n">
        <v>5.488</v>
      </c>
      <c r="H30" s="75">
        <f>B30/B$9</f>
        <v>0.4108251495654137</v>
      </c>
      <c r="I30" s="75">
        <f>C30/C$9</f>
        <v>0.5514692491456609</v>
      </c>
      <c r="J30" s="75">
        <f>D30/D$9</f>
        <v>0.48140936791850925</v>
      </c>
    </row>
    <row r="31">
      <c r="A31" t="n">
        <v>89</v>
      </c>
      <c r="B31" s="71" t="n">
        <v>32110</v>
      </c>
      <c r="C31" s="71" t="n">
        <v>46893</v>
      </c>
      <c r="D31" s="71" t="n">
        <v>39333</v>
      </c>
      <c r="E31" s="72" t="n">
        <v>4.628</v>
      </c>
      <c r="F31" s="72" t="n">
        <v>5.349</v>
      </c>
      <c r="G31" s="72" t="n">
        <v>5.049</v>
      </c>
      <c r="H31" s="75">
        <f>B31/B$9</f>
        <v>0.36245625917146407</v>
      </c>
      <c r="I31" s="75">
        <f>C31/C$9</f>
        <v>0.5023514413960812</v>
      </c>
      <c r="J31" s="75">
        <f>D31/D$9</f>
        <v>0.43267771104217545</v>
      </c>
    </row>
    <row r="32">
      <c r="A32" t="n">
        <v>90</v>
      </c>
      <c r="B32" s="71" t="n">
        <v>27799</v>
      </c>
      <c r="C32" s="71" t="n">
        <v>42028</v>
      </c>
      <c r="D32" s="71" t="n">
        <v>34754</v>
      </c>
      <c r="E32" s="72" t="n">
        <v>4.268</v>
      </c>
      <c r="F32" s="72" t="n">
        <v>4.91</v>
      </c>
      <c r="G32" s="72" t="n">
        <v>4.649</v>
      </c>
      <c r="H32" s="75">
        <f>B32/B$9</f>
        <v>0.31379388192798285</v>
      </c>
      <c r="I32" s="75">
        <f>C32/C$9</f>
        <v>0.4502340728679015</v>
      </c>
      <c r="J32" s="75">
        <f>D32/D$9</f>
        <v>0.3823069984379469</v>
      </c>
    </row>
    <row r="33">
      <c r="A33" t="n">
        <v>91</v>
      </c>
      <c r="B33" s="71" t="n">
        <v>23605</v>
      </c>
      <c r="C33" s="71" t="n">
        <v>36988</v>
      </c>
      <c r="D33" s="71" t="n">
        <v>30149</v>
      </c>
      <c r="E33" s="72" t="n">
        <v>3.937</v>
      </c>
      <c r="F33" s="72" t="n">
        <v>4.511</v>
      </c>
      <c r="G33" s="72" t="n">
        <v>4.283</v>
      </c>
      <c r="H33" s="75">
        <f>B33/B$9</f>
        <v>0.26645219550739363</v>
      </c>
      <c r="I33" s="75">
        <f>C33/C$9</f>
        <v>0.39624197885309653</v>
      </c>
      <c r="J33" s="75">
        <f>D33/D$9</f>
        <v>0.33165027610938774</v>
      </c>
    </row>
    <row r="34">
      <c r="A34" t="n">
        <v>92</v>
      </c>
      <c r="B34" s="71" t="n">
        <v>19616</v>
      </c>
      <c r="C34" s="71" t="n">
        <v>31927</v>
      </c>
      <c r="D34" s="71" t="n">
        <v>25638</v>
      </c>
      <c r="E34" s="72" t="n">
        <v>3.636</v>
      </c>
      <c r="F34" s="72" t="n">
        <v>4.147</v>
      </c>
      <c r="G34" s="72" t="n">
        <v>3.948</v>
      </c>
      <c r="H34" s="75">
        <f>B34/B$9</f>
        <v>0.22142454001580314</v>
      </c>
      <c r="I34" s="75">
        <f>C34/C$9</f>
        <v>0.3420249177798965</v>
      </c>
      <c r="J34" s="75">
        <f>D34/D$9</f>
        <v>0.2820275889380239</v>
      </c>
    </row>
    <row r="35">
      <c r="A35" t="n">
        <v>93</v>
      </c>
      <c r="B35" s="71" t="n">
        <v>15914</v>
      </c>
      <c r="C35" s="71" t="n">
        <v>26933</v>
      </c>
      <c r="D35" s="71" t="n">
        <v>21305</v>
      </c>
      <c r="E35" s="72" t="n">
        <v>3.365</v>
      </c>
      <c r="F35" s="72" t="n">
        <v>3.823</v>
      </c>
      <c r="G35" s="72" t="n">
        <v>3.649</v>
      </c>
      <c r="H35" s="75">
        <f>B35/B$9</f>
        <v>0.17963652782481093</v>
      </c>
      <c r="I35" s="75">
        <f>C35/C$9</f>
        <v>0.2885256087501473</v>
      </c>
      <c r="J35" s="75">
        <f>D35/D$9</f>
        <v>0.2343629683409236</v>
      </c>
    </row>
    <row r="36">
      <c r="A36" t="n">
        <v>94</v>
      </c>
      <c r="B36" s="71" t="n">
        <v>12578</v>
      </c>
      <c r="C36" s="71" t="n">
        <v>22201</v>
      </c>
      <c r="D36" s="71" t="n">
        <v>17288</v>
      </c>
      <c r="E36" s="72" t="n">
        <v>3.125</v>
      </c>
      <c r="F36" s="72" t="n">
        <v>3.531</v>
      </c>
      <c r="G36" s="72" t="n">
        <v>3.381</v>
      </c>
      <c r="H36" s="75">
        <f>B36/B$9</f>
        <v>0.14197990743876285</v>
      </c>
      <c r="I36" s="75">
        <f>C36/C$9</f>
        <v>0.23783303159180263</v>
      </c>
      <c r="J36" s="75">
        <f>D36/D$9</f>
        <v>0.19017446593184167</v>
      </c>
    </row>
    <row r="37">
      <c r="A37" t="n">
        <v>95</v>
      </c>
      <c r="B37" s="71" t="n">
        <v>9681</v>
      </c>
      <c r="C37" s="71" t="n">
        <v>17888</v>
      </c>
      <c r="D37" s="71" t="n">
        <v>13699</v>
      </c>
      <c r="E37" s="72" t="n">
        <v>2.911</v>
      </c>
      <c r="F37" s="72" t="n">
        <v>3.262</v>
      </c>
      <c r="G37" s="72" t="n">
        <v>3.136</v>
      </c>
      <c r="H37" s="75">
        <f>B37/B$9</f>
        <v>0.10927869962749746</v>
      </c>
      <c r="I37" s="75">
        <f>C37/C$9</f>
        <v>0.19162908288429195</v>
      </c>
      <c r="J37" s="75">
        <f>D37/D$9</f>
        <v>0.1506941236002024</v>
      </c>
    </row>
    <row r="38">
      <c r="A38" t="n">
        <v>96</v>
      </c>
      <c r="B38" s="71" t="n">
        <v>7256</v>
      </c>
      <c r="C38" s="71" t="n">
        <v>14059</v>
      </c>
      <c r="D38" s="71" t="n">
        <v>10587</v>
      </c>
      <c r="E38" s="72" t="n">
        <v>2.717</v>
      </c>
      <c r="F38" s="72" t="n">
        <v>3.015</v>
      </c>
      <c r="G38" s="72" t="n">
        <v>2.911</v>
      </c>
      <c r="H38" s="75">
        <f>B38/B$9</f>
        <v>0.08190540693080484</v>
      </c>
      <c r="I38" s="75">
        <f>C38/C$9</f>
        <v>0.15061008923693317</v>
      </c>
      <c r="J38" s="75">
        <f>D38/D$9</f>
        <v>0.11646095967262887</v>
      </c>
    </row>
    <row r="39">
      <c r="A39" t="n">
        <v>97</v>
      </c>
      <c r="B39" s="71" t="n">
        <v>5294</v>
      </c>
      <c r="C39" s="71" t="n">
        <v>10772</v>
      </c>
      <c r="D39" s="71" t="n">
        <v>7978</v>
      </c>
      <c r="E39" s="72" t="n">
        <v>2.538</v>
      </c>
      <c r="F39" s="72" t="n">
        <v>2.782</v>
      </c>
      <c r="G39" s="72" t="n">
        <v>2.7</v>
      </c>
      <c r="H39" s="75">
        <f>B39/B$9</f>
        <v>0.059758437746924034</v>
      </c>
      <c r="I39" s="75">
        <f>C39/C$9</f>
        <v>0.11539738823957921</v>
      </c>
      <c r="J39" s="75">
        <f>D39/D$9</f>
        <v>0.0877609838734517</v>
      </c>
    </row>
    <row r="40">
      <c r="A40" t="n">
        <v>98</v>
      </c>
      <c r="B40" s="71" t="n">
        <v>3772</v>
      </c>
      <c r="C40" s="71" t="n">
        <v>8034</v>
      </c>
      <c r="D40" s="71" t="n">
        <v>5860</v>
      </c>
      <c r="E40" s="72" t="n">
        <v>2.36</v>
      </c>
      <c r="F40" s="72" t="n">
        <v>2.56</v>
      </c>
      <c r="G40" s="72" t="n">
        <v>2.494</v>
      </c>
      <c r="H40" s="75">
        <f>B40/B$9</f>
        <v>0.04257816909357715</v>
      </c>
      <c r="I40" s="75">
        <f>C40/C$9</f>
        <v>0.08606596891169507</v>
      </c>
      <c r="J40" s="75">
        <f>D40/D$9</f>
        <v>0.0644621917145183</v>
      </c>
    </row>
    <row r="41">
      <c r="A41" t="n">
        <v>99</v>
      </c>
      <c r="B41" s="71" t="n">
        <v>2622</v>
      </c>
      <c r="C41" s="71" t="n">
        <v>5813</v>
      </c>
      <c r="D41" s="71" t="n">
        <v>4186</v>
      </c>
      <c r="E41" s="72" t="n">
        <v>2.176</v>
      </c>
      <c r="F41" s="72" t="n">
        <v>2.347</v>
      </c>
      <c r="G41" s="72" t="n">
        <v>2.292</v>
      </c>
      <c r="H41" s="75">
        <f>B41/B$9</f>
        <v>0.029597019979681678</v>
      </c>
      <c r="I41" s="75">
        <f>C41/C$9</f>
        <v>0.06227302430715503</v>
      </c>
      <c r="J41" s="75">
        <f>D41/D$9</f>
        <v>0.04604756561723099</v>
      </c>
    </row>
    <row r="42">
      <c r="A42" t="n">
        <v>100</v>
      </c>
      <c r="B42" s="71" t="n">
        <v>1768</v>
      </c>
      <c r="C42" s="71" t="n">
        <v>4057</v>
      </c>
      <c r="D42" s="71" t="n">
        <v>2889</v>
      </c>
      <c r="E42" s="72" t="n">
        <v>1.986</v>
      </c>
      <c r="F42" s="72" t="n">
        <v>2.146</v>
      </c>
      <c r="G42" s="72" t="n">
        <v>2.096</v>
      </c>
      <c r="H42" s="75">
        <f>B42/B$9</f>
        <v>0.01995710576814539</v>
      </c>
      <c r="I42" s="75">
        <f>C42/C$9</f>
        <v>0.04346149313850472</v>
      </c>
      <c r="J42" s="75">
        <f>D42/D$9</f>
        <v>0.03178008052273777</v>
      </c>
    </row>
    <row r="43">
      <c r="A43" t="n">
        <v>101</v>
      </c>
      <c r="B43" s="71" t="n">
        <v>1139</v>
      </c>
      <c r="C43" s="71" t="n">
        <v>2711</v>
      </c>
      <c r="D43" s="71" t="n">
        <v>1909</v>
      </c>
      <c r="E43" s="72" t="n">
        <v>1.806</v>
      </c>
      <c r="F43" s="72" t="n">
        <v>1.964</v>
      </c>
      <c r="G43" s="72" t="n">
        <v>1.916</v>
      </c>
      <c r="H43" s="75">
        <f>B43/B$9</f>
        <v>0.012856981600632126</v>
      </c>
      <c r="I43" s="75">
        <f>C43/C$9</f>
        <v>0.029042175967090533</v>
      </c>
      <c r="J43" s="75">
        <f>D43/D$9</f>
        <v>0.02099971399027567</v>
      </c>
    </row>
    <row r="44">
      <c r="A44" t="n">
        <v>102</v>
      </c>
      <c r="B44" s="71" t="n">
        <v>688</v>
      </c>
      <c r="C44" s="71" t="n">
        <v>1720</v>
      </c>
      <c r="D44" s="71" t="n">
        <v>1194</v>
      </c>
      <c r="E44" s="72" t="n">
        <v>1.662</v>
      </c>
      <c r="F44" s="72" t="n">
        <v>1.807</v>
      </c>
      <c r="G44" s="72" t="n">
        <v>1.764</v>
      </c>
      <c r="H44" s="75">
        <f>B44/B$9</f>
        <v>0.007766113556834858</v>
      </c>
      <c r="I44" s="75">
        <f>C44/C$9</f>
        <v>0.01842587335425884</v>
      </c>
      <c r="J44" s="75">
        <f>D44/D$9</f>
        <v>0.013134446571183421</v>
      </c>
    </row>
    <row r="45">
      <c r="A45" t="n">
        <v>103</v>
      </c>
      <c r="B45" s="71" t="n">
        <v>394</v>
      </c>
      <c r="C45" s="71" t="n">
        <v>1038</v>
      </c>
      <c r="D45" s="71" t="n">
        <v>710</v>
      </c>
      <c r="E45" s="72" t="n">
        <v>1.531</v>
      </c>
      <c r="F45" s="72" t="n">
        <v>1.665</v>
      </c>
      <c r="G45" s="72" t="n">
        <v>1.628</v>
      </c>
      <c r="H45" s="75">
        <f>B45/B$9</f>
        <v>0.004447454565978101</v>
      </c>
      <c r="I45" s="75">
        <f>C45/C$9</f>
        <v>0.011119800314953882</v>
      </c>
      <c r="J45" s="75">
        <f>D45/D$9</f>
        <v>0.0078102655490286665</v>
      </c>
    </row>
    <row r="46">
      <c r="A46" t="n">
        <v>104</v>
      </c>
      <c r="B46" s="71" t="n">
        <v>212</v>
      </c>
      <c r="C46" s="71" t="n">
        <v>594</v>
      </c>
      <c r="D46" s="71" t="n">
        <v>399</v>
      </c>
      <c r="E46" s="72" t="n">
        <v>1.414</v>
      </c>
      <c r="F46" s="72" t="n">
        <v>1.538</v>
      </c>
      <c r="G46" s="72" t="n">
        <v>1.504</v>
      </c>
      <c r="H46" s="75">
        <f>B46/B$9</f>
        <v>0.0023930466192572525</v>
      </c>
      <c r="I46" s="75">
        <f>C46/C$9</f>
        <v>0.006363353937459158</v>
      </c>
      <c r="J46" s="75">
        <f>D46/D$9</f>
        <v>0.004389149231073856</v>
      </c>
    </row>
    <row r="47">
      <c r="A47" t="n">
        <v>105</v>
      </c>
      <c r="B47" s="71" t="n">
        <v>107</v>
      </c>
      <c r="C47" s="71" t="n">
        <v>320</v>
      </c>
      <c r="D47" s="71" t="n">
        <v>212</v>
      </c>
      <c r="E47" s="72" t="n">
        <v>1.308</v>
      </c>
      <c r="F47" s="72" t="n">
        <v>1.423</v>
      </c>
      <c r="G47" s="72" t="n">
        <v>1.393</v>
      </c>
      <c r="H47" s="75">
        <f>B47/B$9</f>
        <v>0.0012078112653798397</v>
      </c>
      <c r="I47" s="75">
        <f>C47/C$9</f>
        <v>0.0034280694612574586</v>
      </c>
      <c r="J47" s="75">
        <f>D47/D$9</f>
        <v>0.0023320792906958835</v>
      </c>
    </row>
    <row r="48">
      <c r="A48" t="n">
        <v>106</v>
      </c>
      <c r="B48" s="71" t="n">
        <v>51</v>
      </c>
      <c r="C48" s="71" t="n">
        <v>162</v>
      </c>
      <c r="D48" s="71" t="n">
        <v>105</v>
      </c>
      <c r="E48" s="72" t="n">
        <v>1.214</v>
      </c>
      <c r="F48" s="72" t="n">
        <v>1.32</v>
      </c>
      <c r="G48" s="72" t="n">
        <v>1.294</v>
      </c>
      <c r="H48" s="75">
        <f>B48/B$9</f>
        <v>0.0005756857433118863</v>
      </c>
      <c r="I48" s="75">
        <f>C48/C$9</f>
        <v>0.0017354601647615886</v>
      </c>
      <c r="J48" s="75">
        <f>D48/D$9</f>
        <v>0.0011550392713352254</v>
      </c>
    </row>
    <row r="49">
      <c r="A49" t="n">
        <v>107</v>
      </c>
      <c r="B49" s="71" t="n">
        <v>22</v>
      </c>
      <c r="C49" s="71" t="n">
        <v>77</v>
      </c>
      <c r="D49" s="71" t="n">
        <v>49</v>
      </c>
      <c r="E49" s="72" t="n">
        <v>1.129</v>
      </c>
      <c r="F49" s="72" t="n">
        <v>1.227</v>
      </c>
      <c r="G49" s="72" t="n">
        <v>1.205</v>
      </c>
      <c r="H49" s="75">
        <f>B49/B$9</f>
        <v>0.000248335026526696</v>
      </c>
      <c r="I49" s="75">
        <f>C49/C$9</f>
        <v>0.000824879214115076</v>
      </c>
      <c r="J49" s="75">
        <f>D49/D$9</f>
        <v>0.0005390183266231052</v>
      </c>
    </row>
    <row r="50">
      <c r="A50" t="n">
        <v>108</v>
      </c>
      <c r="B50" s="71" t="n">
        <v>9</v>
      </c>
      <c r="C50" s="71" t="n">
        <v>34</v>
      </c>
      <c r="D50" s="71" t="n">
        <v>21</v>
      </c>
      <c r="E50" s="72" t="n">
        <v>1.053</v>
      </c>
      <c r="F50" s="72" t="n">
        <v>1.144</v>
      </c>
      <c r="G50" s="72" t="n">
        <v>1.125</v>
      </c>
      <c r="H50" s="75">
        <f>B50/B$9</f>
        <v>0.00010159160176092109</v>
      </c>
      <c r="I50" s="75">
        <f>C50/C$9</f>
        <v>0.00036423238025860496</v>
      </c>
      <c r="J50" s="75">
        <f>D50/D$9</f>
        <v>0.00023100785426704508</v>
      </c>
    </row>
    <row r="51">
      <c r="A51" t="n">
        <v>109</v>
      </c>
      <c r="B51" s="71" t="n">
        <v>3</v>
      </c>
      <c r="C51" s="71" t="n">
        <v>14</v>
      </c>
      <c r="D51" s="71" t="n">
        <v>9</v>
      </c>
      <c r="E51" s="72" t="n">
        <v>0.986</v>
      </c>
      <c r="F51" s="72" t="n">
        <v>1.07</v>
      </c>
      <c r="G51" s="72" t="n">
        <v>1.054</v>
      </c>
      <c r="H51" s="75">
        <f>B51/B$9</f>
        <v>3.3863867253640366e-05</v>
      </c>
      <c r="I51" s="75">
        <f>C51/C$9</f>
        <v>0.00014997803893001383</v>
      </c>
      <c r="J51" s="75">
        <f>D51/D$9</f>
        <v>9.90033661144479e-05</v>
      </c>
    </row>
    <row r="52">
      <c r="A52" t="n">
        <v>110</v>
      </c>
      <c r="B52" s="71" t="n">
        <v>1</v>
      </c>
      <c r="C52" s="71" t="n">
        <v>5</v>
      </c>
      <c r="D52" s="71" t="n">
        <v>3</v>
      </c>
      <c r="E52" s="72" t="n">
        <v>0.926</v>
      </c>
      <c r="F52" s="72" t="n">
        <v>1.004</v>
      </c>
      <c r="G52" s="72" t="n">
        <v>0.99</v>
      </c>
      <c r="H52" s="75">
        <f>B52/B$9</f>
        <v>1.1287955751213456e-05</v>
      </c>
      <c r="I52" s="75">
        <f>C52/C$9</f>
        <v>5.356358533214779e-05</v>
      </c>
      <c r="J52" s="75">
        <f>D52/D$9</f>
        <v>3.30011220381493e-05</v>
      </c>
    </row>
  </sheetData>
  <hyperlinks>
    <hyperlink xmlns:r="http://schemas.openxmlformats.org/officeDocument/2006/relationships" ref="M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30" customWidth="1" min="3" max="3"/>
    <col width="32" customWidth="1" min="4" max="4"/>
    <col width="90" customWidth="1" min="5" max="5"/>
    <col width="50" customWidth="1" min="6" max="6"/>
    <col width="13" customWidth="1" min="7" max="7"/>
    <col width="70" customWidth="1" min="8" max="8"/>
  </cols>
  <sheetData>
    <row r="1">
      <c r="A1" s="66" t="inlineStr">
        <is>
          <t>ID</t>
        </is>
      </c>
      <c r="B1" s="66" t="inlineStr">
        <is>
          <t>Gruppo</t>
        </is>
      </c>
      <c r="C1" s="66" t="inlineStr">
        <is>
          <t>Termine</t>
        </is>
      </c>
      <c r="D1" s="66" t="inlineStr">
        <is>
          <t>Per esteso</t>
        </is>
      </c>
      <c r="E1" s="66" t="inlineStr">
        <is>
          <t>Definizione</t>
        </is>
      </c>
      <c r="F1" s="66" t="inlineStr">
        <is>
          <t>Fonte</t>
        </is>
      </c>
      <c r="G1" s="66" t="inlineStr">
        <is>
          <t>Consultata il</t>
        </is>
      </c>
      <c r="H1" s="66" t="inlineStr">
        <is>
          <t>Note</t>
        </is>
      </c>
    </row>
    <row r="2">
      <c r="A2" s="67" t="inlineStr">
        <is>
          <t>fondo-pensione-aperto</t>
        </is>
      </c>
      <c r="B2" s="67" t="inlineStr">
        <is>
          <t>Fondi e documenti</t>
        </is>
      </c>
      <c r="C2" s="67" t="inlineStr">
        <is>
          <t>Fondo pensione aperto</t>
        </is>
      </c>
      <c r="D2" s="67" t="n"/>
      <c r="E2" s="67" t="inlineStr">
        <is>
          <t>Fondo pensione istituito da una banca, una SGR, una SIM o un'assicurazione e aperto a tutti, anche a chi non lavora. Si aderisce da soli (adesione individuale) oppure tramite un accordo aziendale (adesione collettiva).</t>
        </is>
      </c>
      <c r="F2" s="68" t="inlineStr">
        <is>
          <t>COVIP – Glossario</t>
        </is>
      </c>
      <c r="G2" s="76" t="n">
        <v>46303</v>
      </c>
      <c r="H2" s="67" t="n"/>
    </row>
    <row r="3">
      <c r="A3" s="67" t="inlineStr">
        <is>
          <t>fondo-negoziale</t>
        </is>
      </c>
      <c r="B3" s="67" t="inlineStr">
        <is>
          <t>Fondi e documenti</t>
        </is>
      </c>
      <c r="C3" s="67" t="inlineStr">
        <is>
          <t>Fondo negoziale (chiuso)</t>
        </is>
      </c>
      <c r="D3" s="67" t="n"/>
      <c r="E3" s="67" t="inlineStr">
        <is>
          <t>Fondo pensione istituito da contratti o accordi collettivi per i lavoratori di una categoria, di un settore o di un'azienda. Di solito è il fondo a cui il datore di lavoro versa il proprio contributo: aderendo a un fondo aperto si può perderlo.</t>
        </is>
      </c>
      <c r="F3" s="68" t="inlineStr">
        <is>
          <t>COVIP – Glossario</t>
        </is>
      </c>
      <c r="G3" s="76" t="n">
        <v>46303</v>
      </c>
      <c r="H3" s="67" t="inlineStr">
        <is>
          <t>Sul contributo del datore di lavoro: Guida introduttiva COVIP (2018), p. 25.</t>
        </is>
      </c>
    </row>
    <row r="4">
      <c r="A4" s="67" t="inlineStr">
        <is>
          <t>albo-covip</t>
        </is>
      </c>
      <c r="B4" s="67" t="inlineStr">
        <is>
          <t>Fondi e documenti</t>
        </is>
      </c>
      <c r="C4" s="67" t="inlineStr">
        <is>
          <t>Albo COVIP</t>
        </is>
      </c>
      <c r="D4" s="67" t="inlineStr">
        <is>
          <t>COVIP: Commissione di vigilanza sui fondi pensione</t>
        </is>
      </c>
      <c r="E4" s="67" t="inlineStr">
        <is>
          <t>La COVIP è l'autorità pubblica che vigila sui fondi pensione. L'Albo è il suo elenco ufficiale delle forme pensionistiche complementari: questa dashboard parte dai fondi pensione aperti iscritti all'Albo.</t>
        </is>
      </c>
      <c r="F4" s="68" t="inlineStr">
        <is>
          <t>COVIP – Glossario</t>
        </is>
      </c>
      <c r="G4" s="76" t="n">
        <v>46303</v>
      </c>
      <c r="H4" s="67" t="n"/>
    </row>
    <row r="5">
      <c r="A5" s="67" t="inlineStr">
        <is>
          <t>contribuzione-definita</t>
        </is>
      </c>
      <c r="B5" s="67" t="inlineStr">
        <is>
          <t>Fondi e documenti</t>
        </is>
      </c>
      <c r="C5" s="67" t="inlineStr">
        <is>
          <t>Contribuzione definita</t>
        </is>
      </c>
      <c r="D5" s="67" t="n"/>
      <c r="E5" s="67" t="inlineStr">
        <is>
          <t>Si sa quanto si versa, non quanto si riceverà: la pensione complementare dipende dai contributi versati e dai risultati degli investimenti, al netto dei costi. Non c'è un importo garantito, salvo nei comparti con garanzia.</t>
        </is>
      </c>
      <c r="F5" s="68" t="inlineStr">
        <is>
          <t>COVIP – Glossario</t>
        </is>
      </c>
      <c r="G5" s="76" t="n">
        <v>46303</v>
      </c>
      <c r="H5" s="67" t="n"/>
    </row>
    <row r="6">
      <c r="A6" s="67" t="inlineStr">
        <is>
          <t>adesione</t>
        </is>
      </c>
      <c r="B6" s="67" t="inlineStr">
        <is>
          <t>Fondi e documenti</t>
        </is>
      </c>
      <c r="C6" s="67" t="inlineStr">
        <is>
          <t>Adesione individuale e collettiva</t>
        </is>
      </c>
      <c r="D6" s="67" t="n"/>
      <c r="E6" s="67" t="inlineStr">
        <is>
          <t>Individuale: ti iscrivi tu, al fondo che scegli, qualunque lavoro tu faccia. Collettiva: l'iscrizione avviene in base a un accordo tra azienda e lavoratori, anche verso un fondo aperto. Alcune regole, per esempio sul riscatto, cambiano tra le due.</t>
        </is>
      </c>
      <c r="F6" s="68" t="inlineStr">
        <is>
          <t>COVIP – Glossario</t>
        </is>
      </c>
      <c r="G6" s="76" t="n">
        <v>46303</v>
      </c>
      <c r="H6" s="67" t="n"/>
    </row>
    <row r="7">
      <c r="A7" s="67" t="inlineStr">
        <is>
          <t>posizione-individuale</t>
        </is>
      </c>
      <c r="B7" s="67" t="inlineStr">
        <is>
          <t>Fondi e documenti</t>
        </is>
      </c>
      <c r="C7" s="67" t="inlineStr">
        <is>
          <t>Posizione individuale (montante)</t>
        </is>
      </c>
      <c r="D7" s="67" t="n"/>
      <c r="E7" s="67" t="inlineStr">
        <is>
          <t>Il valore del tuo conto nel fondo: i contributi versati più i rendimenti, meno i costi e gli eventuali prelievi. Al momento della pensione si parla anche di montante.</t>
        </is>
      </c>
      <c r="F7" s="68" t="inlineStr">
        <is>
          <t>COVIP – Glossario</t>
        </is>
      </c>
      <c r="G7" s="76" t="n">
        <v>46303</v>
      </c>
      <c r="H7" s="67" t="n"/>
    </row>
    <row r="8">
      <c r="A8" s="67" t="inlineStr">
        <is>
          <t>nota-informativa</t>
        </is>
      </c>
      <c r="B8" s="67" t="inlineStr">
        <is>
          <t>Fondi e documenti</t>
        </is>
      </c>
      <c r="C8" s="67" t="inlineStr">
        <is>
          <t>Nota informativa</t>
        </is>
      </c>
      <c r="D8" s="67" t="n"/>
      <c r="E8" s="67" t="inlineStr">
        <is>
          <t>Il documento ufficiale che descrive il fondo: comparti, costi, rendimenti passati e prestazioni. Segue uno schema fissato dalla COVIP, è pubblicato sul sito del fondo e va letto prima di aderire. In appendice c'è l'Informativa sulla sostenibilità.</t>
        </is>
      </c>
      <c r="F8" s="68" t="inlineStr">
        <is>
          <t>COVIP – Glossario</t>
        </is>
      </c>
      <c r="G8" s="76" t="n">
        <v>46303</v>
      </c>
      <c r="H8" s="67" t="n"/>
    </row>
    <row r="9">
      <c r="A9" s="67" t="inlineStr">
        <is>
          <t>scheda-costi</t>
        </is>
      </c>
      <c r="B9" s="67" t="inlineStr">
        <is>
          <t>Fondi e documenti</t>
        </is>
      </c>
      <c r="C9" s="67" t="inlineStr">
        <is>
          <t>Scheda dei costi</t>
        </is>
      </c>
      <c r="D9" s="67" t="n"/>
      <c r="E9" s="67" t="inlineStr">
        <is>
          <t>La parte della Nota informativa che elenca tutti i costi del fondo, con l'ISC. Viene consegnata prima dell'adesione: per confrontare i costi di due fondi la COVIP consiglia di confrontarne le schede.</t>
        </is>
      </c>
      <c r="F9" s="68" t="inlineStr">
        <is>
          <t>COVIP – Guida introduttiva alla previdenza complementare (settembre 2018)</t>
        </is>
      </c>
      <c r="G9" s="76" t="n">
        <v>46303</v>
      </c>
      <c r="H9" s="67" t="inlineStr">
        <is>
          <t>Guida introduttiva COVIP, pp. 16 e 25.</t>
        </is>
      </c>
    </row>
    <row r="10">
      <c r="A10" s="67" t="inlineStr">
        <is>
          <t>ciao-elsa</t>
        </is>
      </c>
      <c r="B10" s="67" t="inlineStr">
        <is>
          <t>Fondi e documenti</t>
        </is>
      </c>
      <c r="C10" s="67" t="inlineStr">
        <is>
          <t>Ciao Elsa</t>
        </is>
      </c>
      <c r="D10" s="67" t="n"/>
      <c r="E10" s="67" t="inlineStr">
        <is>
          <t>Sito di Elsa Srl che spiega la previdenza complementare, confronta i fondi pensione e per alcuni fondi aperti permette di aderire online. In questa dashboard è la fonte secondaria dei dati di dettaglio: vanno verificati sulla Nota informativa.</t>
        </is>
      </c>
      <c r="F10" s="68" t="inlineStr">
        <is>
          <t>Ciao Elsa – home page (“Ma chi è Ciao Elsa?”)</t>
        </is>
      </c>
      <c r="G10" s="76" t="n">
        <v>46303</v>
      </c>
      <c r="H10" s="67" t="n"/>
    </row>
    <row r="11">
      <c r="A11" s="67" t="inlineStr">
        <is>
          <t>sottoscrizione-online</t>
        </is>
      </c>
      <c r="B11" s="67" t="inlineStr">
        <is>
          <t>Fondi e documenti</t>
        </is>
      </c>
      <c r="C11" s="67" t="inlineStr">
        <is>
          <t>Sottoscrizione online</t>
        </is>
      </c>
      <c r="D11" s="67" t="n"/>
      <c r="E11" s="67" t="inlineStr">
        <is>
          <t>Adesione al fondo via internet tramite Ciao Elsa, che fa da broker: identificazione con SPID o CIE e questionario di autovalutazione COVIP. “Lista d'attesa” vuol dire che il fondo non è ancora sottoscrivibile su Ciao Elsa: ci si può iscrivere per essere avvisati.</t>
        </is>
      </c>
      <c r="F11" s="68" t="inlineStr">
        <is>
          <t>Ciao Elsa – Sottoscrizione di fondi pensione su Ciao Elsa</t>
        </is>
      </c>
      <c r="G11" s="76" t="n">
        <v>46303</v>
      </c>
      <c r="H11" s="67" t="inlineStr">
        <is>
          <t>La lista d'attesa è indicata nelle schede dei fondi di Ciao Elsa (es. Previdenza per Te di AXA MPS).</t>
        </is>
      </c>
    </row>
    <row r="12">
      <c r="A12" s="67" t="inlineStr">
        <is>
          <t>comparto</t>
        </is>
      </c>
      <c r="B12" s="67" t="inlineStr">
        <is>
          <t>Investimento</t>
        </is>
      </c>
      <c r="C12" s="67" t="inlineStr">
        <is>
          <t>Comparto (linea di investimento)</t>
        </is>
      </c>
      <c r="D12" s="67" t="n"/>
      <c r="E12" s="67" t="inlineStr">
        <is>
          <t>Una delle opzioni di investimento offerte dal fondo, con una propria politica di investimento e quindi un proprio livello di rischio e di rendimento atteso. Il fondo può consentire di dividere i versamenti tra più comparti.</t>
        </is>
      </c>
      <c r="F12" s="68" t="inlineStr">
        <is>
          <t>COVIP – Glossario</t>
        </is>
      </c>
      <c r="G12" s="76" t="n">
        <v>46303</v>
      </c>
      <c r="H12" s="67" t="n"/>
    </row>
    <row r="13">
      <c r="A13" s="67" t="inlineStr">
        <is>
          <t>azn</t>
        </is>
      </c>
      <c r="B13" s="67" t="inlineStr">
        <is>
          <t>Investimento</t>
        </is>
      </c>
      <c r="C13" s="67" t="inlineStr">
        <is>
          <t>AZN</t>
        </is>
      </c>
      <c r="D13" s="67" t="inlineStr">
        <is>
          <t>Azionario</t>
        </is>
      </c>
      <c r="E13" s="67" t="inlineStr">
        <is>
          <t>Comparto che investe solo o principalmente in azioni: nel lungo periodo può rendere di più, ma il suo valore può oscillare molto da un anno all'altro, anche in negativo. Per la COVIP un comparto è azionario se almeno il 50% è investito in azioni.</t>
        </is>
      </c>
      <c r="F13" s="68" t="inlineStr">
        <is>
          <t>COVIP – Glossario</t>
        </is>
      </c>
      <c r="G13" s="76" t="n">
        <v>46303</v>
      </c>
      <c r="H13" s="67" t="inlineStr">
        <is>
          <t>Sigla della categoria usata da Ciao Elsa. Rischio e rendimento: Guida introduttiva COVIP, p. 21.</t>
        </is>
      </c>
    </row>
    <row r="14">
      <c r="A14" s="67" t="inlineStr">
        <is>
          <t>bil</t>
        </is>
      </c>
      <c r="B14" s="67" t="inlineStr">
        <is>
          <t>Investimento</t>
        </is>
      </c>
      <c r="C14" s="67" t="inlineStr">
        <is>
          <t>BIL</t>
        </is>
      </c>
      <c r="D14" s="67" t="inlineStr">
        <is>
          <t>Bilanciato</t>
        </is>
      </c>
      <c r="E14" s="67" t="inlineStr">
        <is>
          <t>Comparto che investe sia in azioni sia in obbligazioni, in linea di massima in proporzioni simili: rischio e rendimento atteso intermedi. Per la COVIP è bilanciato un comparto con più del 30% e meno del 50% di azioni.</t>
        </is>
      </c>
      <c r="F14" s="68" t="inlineStr">
        <is>
          <t>COVIP – Glossario</t>
        </is>
      </c>
      <c r="G14" s="76" t="n">
        <v>46303</v>
      </c>
      <c r="H14" s="67" t="inlineStr">
        <is>
          <t>Sigla e categoria di Ciao Elsa, che non sempre segue le soglie COVIP: diversi comparti BIL hanno il 50% di azioni o più, e per la COVIP sarebbero azionari.</t>
        </is>
      </c>
    </row>
    <row r="15">
      <c r="A15" s="67" t="inlineStr">
        <is>
          <t>obb</t>
        </is>
      </c>
      <c r="B15" s="67" t="inlineStr">
        <is>
          <t>Investimento</t>
        </is>
      </c>
      <c r="C15" s="67" t="inlineStr">
        <is>
          <t>OBB</t>
        </is>
      </c>
      <c r="D15" s="67" t="inlineStr">
        <is>
          <t>Obbligazionario (misto o puro)</t>
        </is>
      </c>
      <c r="E15" s="67" t="inlineStr">
        <is>
          <t>Comparto che investe soprattutto in obbligazioni: rendimenti attesi più contenuti e oscillazioni ridotte. “Puro”: solo obbligazioni, niente azioni. “Misto”: anche azioni, ma al massimo il 30%.</t>
        </is>
      </c>
      <c r="F15" s="68" t="inlineStr">
        <is>
          <t>COVIP – Glossario</t>
        </is>
      </c>
      <c r="G15" s="76" t="n">
        <v>46303</v>
      </c>
      <c r="H15" s="67" t="inlineStr">
        <is>
          <t>Sigle di Ciao Elsa (OBB PURO, OBB MISTO), che non sempre seguono le soglie COVIP: alcuni OBB PURO hanno una piccola quota di azioni, e molti comparti con garanzia sono classificati come OBB.</t>
        </is>
      </c>
    </row>
    <row r="16">
      <c r="A16" s="67" t="inlineStr">
        <is>
          <t>gar</t>
        </is>
      </c>
      <c r="B16" s="67" t="inlineStr">
        <is>
          <t>Investimento</t>
        </is>
      </c>
      <c r="C16" s="67" t="inlineStr">
        <is>
          <t>GAR</t>
        </is>
      </c>
      <c r="D16" s="67" t="inlineStr">
        <is>
          <t>Garantito</t>
        </is>
      </c>
      <c r="E16" s="67" t="inlineStr">
        <is>
          <t>Comparto che garantisce la restituzione del capitale versato o un rendimento minimo, ma solo in certi casi previsti dal regolamento, per esempio al pensionamento.</t>
        </is>
      </c>
      <c r="F16" s="68" t="inlineStr">
        <is>
          <t>COVIP – Glossario</t>
        </is>
      </c>
      <c r="G16" s="76" t="n">
        <v>46303</v>
      </c>
      <c r="H16" s="67" t="inlineStr">
        <is>
          <t>Ciao Elsa usa la categoria GAR per pochi comparti: molti comparti con garanzia sono classificati come obbligazionari (OBB).</t>
        </is>
      </c>
    </row>
    <row r="17">
      <c r="A17" s="67" t="inlineStr">
        <is>
          <t>asset-allocation</t>
        </is>
      </c>
      <c r="B17" s="67" t="inlineStr">
        <is>
          <t>Investimento</t>
        </is>
      </c>
      <c r="C17" s="67" t="inlineStr">
        <is>
          <t>Asset allocation</t>
        </is>
      </c>
      <c r="D17" s="67" t="n"/>
      <c r="E17" s="67" t="inlineStr">
        <is>
          <t>Come è diviso il patrimonio di un comparto tra azioni (quote di società: possono rendere di più, ma oscillano molto) e obbligazioni (titoli di debito di Stati e imprese, che pagano interessi: oscillazioni più contenute). Più azioni vuol dire più rischio e più rendimento atteso nel lungo periodo.</t>
        </is>
      </c>
      <c r="F17" s="68" t="inlineStr">
        <is>
          <t>COVIP – Guida introduttiva alla previdenza complementare (settembre 2018)</t>
        </is>
      </c>
      <c r="G17" s="76" t="n">
        <v>46303</v>
      </c>
      <c r="H17" s="67" t="inlineStr">
        <is>
          <t>Guida introduttiva COVIP, pp. 17 e 21–22: composizione del portafoglio in titoli azionari e obbligazionari.</t>
        </is>
      </c>
    </row>
    <row r="18">
      <c r="A18" s="67" t="inlineStr">
        <is>
          <t>esg</t>
        </is>
      </c>
      <c r="B18" s="67" t="inlineStr">
        <is>
          <t>Investimento</t>
        </is>
      </c>
      <c r="C18" s="67" t="inlineStr">
        <is>
          <t>ESG</t>
        </is>
      </c>
      <c r="D18" s="67" t="inlineStr">
        <is>
          <t>Environmental, Social, Governance</t>
        </is>
      </c>
      <c r="E18" s="67" t="inlineStr">
        <is>
          <t>Fattori ambientali (es. emissioni di CO2, inquinamento), sociali (es. diritti umani, condizioni di lavoro) e di governo delle imprese (es. compensi dei manager) usati per valutare la sostenibilità degli investimenti nel lungo periodo.</t>
        </is>
      </c>
      <c r="F18" s="68" t="inlineStr">
        <is>
          <t>COVIP – Glossario</t>
        </is>
      </c>
      <c r="G18" s="76" t="n">
        <v>46303</v>
      </c>
      <c r="H18" s="67" t="inlineStr">
        <is>
          <t>Nella dashboard “ESG” vuol dire che, secondo Ciao Elsa, il fondo ha almeno una linea che prevede investimenti sostenibili. Quali comparti promuovono caratteristiche ambientali o sociali, o hanno obiettivi di investimento sostenibile, lo dice l'Informativa sulla sostenibilità allegata alla Nota informativa.</t>
        </is>
      </c>
    </row>
    <row r="19">
      <c r="A19" s="67" t="inlineStr">
        <is>
          <t>life-cycle</t>
        </is>
      </c>
      <c r="B19" s="67" t="inlineStr">
        <is>
          <t>Investimento</t>
        </is>
      </c>
      <c r="C19" s="67" t="inlineStr">
        <is>
          <t>Life cycle</t>
        </is>
      </c>
      <c r="D19" s="67" t="n"/>
      <c r="E19" s="67" t="inlineStr">
        <is>
          <t>Percorso che sposta automaticamente l'investimento verso comparti più prudenti man mano che ci si avvicina alla pensione, tenendo conto dell'età e degli anni che mancano. Dal 1° luglio 2026 è la destinazione dei versamenti di chi aderisce in modo automatico.</t>
        </is>
      </c>
      <c r="F19" s="68" t="inlineStr">
        <is>
          <t>COVIP – Glossario</t>
        </is>
      </c>
      <c r="G19" s="76" t="n">
        <v>46303</v>
      </c>
      <c r="H19" s="67" t="inlineStr">
        <is>
          <t>Nella dashboard “Life cycle” vuol dire che, secondo Ciao Elsa, il fondo offre questa opzione.</t>
        </is>
      </c>
    </row>
    <row r="20">
      <c r="A20" s="67" t="inlineStr">
        <is>
          <t>switch</t>
        </is>
      </c>
      <c r="B20" s="67" t="inlineStr">
        <is>
          <t>Investimento</t>
        </is>
      </c>
      <c r="C20" s="67" t="inlineStr">
        <is>
          <t>Switch (cambio di comparto)</t>
        </is>
      </c>
      <c r="D20" s="67" t="n"/>
      <c r="E20" s="67" t="inlineStr">
        <is>
          <t>Spostare la posizione, o i versamenti futuri, da un comparto all'altro dello stesso fondo. La scelta del comparto non è vincolante, ma tra un cambio e l'altro va rispettato il periodo minimo previsto dal regolamento del fondo.</t>
        </is>
      </c>
      <c r="F20" s="68" t="inlineStr">
        <is>
          <t>COVIP – Guida introduttiva alla previdenza complementare (settembre 2018)</t>
        </is>
      </c>
      <c r="G20" s="76" t="n">
        <v>46303</v>
      </c>
      <c r="H20" s="67" t="inlineStr">
        <is>
          <t>Guida introduttiva COVIP, pp. 22 e 24.</t>
        </is>
      </c>
    </row>
    <row r="21">
      <c r="A21" s="67" t="inlineStr">
        <is>
          <t>spese-adesione</t>
        </is>
      </c>
      <c r="B21" s="67" t="inlineStr">
        <is>
          <t>Costi e rendimenti</t>
        </is>
      </c>
      <c r="C21" s="67" t="inlineStr">
        <is>
          <t>Spese di adesione</t>
        </is>
      </c>
      <c r="D21" s="67" t="n"/>
      <c r="E21" s="67" t="inlineStr">
        <is>
          <t>Costo pagato una sola volta, quando ti iscrivi. Pesa poco se resti nel fondo a lungo, molto se ci resti pochi anni.</t>
        </is>
      </c>
      <c r="F21" s="68" t="inlineStr">
        <is>
          <t>COVIP – Glossario</t>
        </is>
      </c>
      <c r="G21" s="76" t="n">
        <v>46303</v>
      </c>
      <c r="H21" s="67" t="inlineStr">
        <is>
          <t>Nella definizione dell'ISC è il “costo di iscrizione”, il cui peso diminuisce con gli anni di permanenza.</t>
        </is>
      </c>
    </row>
    <row r="22">
      <c r="A22" s="67" t="inlineStr">
        <is>
          <t>spese-annue</t>
        </is>
      </c>
      <c r="B22" s="67" t="inlineStr">
        <is>
          <t>Costi e rendimenti</t>
        </is>
      </c>
      <c r="C22" s="67" t="inlineStr">
        <is>
          <t>Spese annue fisse</t>
        </is>
      </c>
      <c r="D22" s="67" t="n"/>
      <c r="E22" s="67" t="inlineStr">
        <is>
          <t>Importo fisso in euro prelevato ogni anno dalla posizione, qualunque sia il suo valore: pesa di più all'inizio, quando la posizione è piccola.</t>
        </is>
      </c>
      <c r="F22" s="68" t="inlineStr">
        <is>
          <t>COVIP – Glossario</t>
        </is>
      </c>
      <c r="G22" s="76" t="n">
        <v>46303</v>
      </c>
      <c r="H22" s="67" t="inlineStr">
        <is>
          <t>Nella definizione dell'ISC è la “spesa annua in cifra fissa”.</t>
        </is>
      </c>
    </row>
    <row r="23">
      <c r="A23" s="67" t="inlineStr">
        <is>
          <t>costo-versato</t>
        </is>
      </c>
      <c r="B23" s="67" t="inlineStr">
        <is>
          <t>Costi e rendimenti</t>
        </is>
      </c>
      <c r="C23" s="67" t="inlineStr">
        <is>
          <t>Costo % sul versato</t>
        </is>
      </c>
      <c r="D23" s="67" t="n"/>
      <c r="E23" s="67" t="inlineStr">
        <is>
          <t>Percentuale trattenuta da ogni versamento prima che venga investito: per esempio, lo 0,5% vuol dire 5 € ogni 1.000 € versati.</t>
        </is>
      </c>
      <c r="F23" s="68" t="inlineStr">
        <is>
          <t>COVIP – Glossario</t>
        </is>
      </c>
      <c r="G23" s="76" t="n">
        <v>46303</v>
      </c>
      <c r="H23" s="67" t="inlineStr">
        <is>
          <t>Nella definizione dell'ISC è la “spesa in percentuale sui versamenti”.</t>
        </is>
      </c>
    </row>
    <row r="24">
      <c r="A24" s="67" t="inlineStr">
        <is>
          <t>commissione-gestione</t>
        </is>
      </c>
      <c r="B24" s="67" t="inlineStr">
        <is>
          <t>Costi e rendimenti</t>
        </is>
      </c>
      <c r="C24" s="67" t="inlineStr">
        <is>
          <t>Commissione di gestione</t>
        </is>
      </c>
      <c r="D24" s="67" t="n"/>
      <c r="E24" s="67" t="inlineStr">
        <is>
          <t>Percentuale del patrimonio del comparto trattenuta ogni anno per gestirlo: per esempio, l'1% vuol dire 10 € l'anno ogni 1.000 € investiti. Si paga su tutto ciò che hai accumulato, quindi nel lungo periodo anche piccole differenze riducono molto la pensione.</t>
        </is>
      </c>
      <c r="F24" s="68" t="inlineStr">
        <is>
          <t>COVIP – Glossario</t>
        </is>
      </c>
      <c r="G24" s="76" t="n">
        <v>46303</v>
      </c>
      <c r="H24" s="67" t="inlineStr">
        <is>
          <t>Nella definizione dell'ISC sono le “commissioni in percentuale sul patrimonio”. Effetto delle piccole differenze di costo: Guida introduttiva COVIP, p. 25.</t>
        </is>
      </c>
    </row>
    <row r="25">
      <c r="A25" s="67" t="inlineStr">
        <is>
          <t>isc</t>
        </is>
      </c>
      <c r="B25" s="67" t="inlineStr">
        <is>
          <t>Costi e rendimenti</t>
        </is>
      </c>
      <c r="C25" s="67" t="inlineStr">
        <is>
          <t>ISC</t>
        </is>
      </c>
      <c r="D25" s="67" t="inlineStr">
        <is>
          <t>Indicatore sintetico dei costi</t>
        </is>
      </c>
      <c r="E25" s="67" t="inlineStr">
        <is>
          <t>Tutti i costi di un comparto riassunti in un'unica percentuale: di quanto riducono ogni anno il rendimento. La COVIP lo calcola allo stesso modo per tutti i fondi, per 2, 5, 10 e 35 anni di permanenza (versamento di 2.500 € l'anno, rendimento ipotetico del 4%): è il modo ufficiale per confrontare i costi tra fondi.</t>
        </is>
      </c>
      <c r="F25" s="68" t="inlineStr">
        <is>
          <t>COVIP – Glossario</t>
        </is>
      </c>
      <c r="G25" s="76" t="n">
        <v>46303</v>
      </c>
      <c r="H25" s="67" t="inlineStr">
        <is>
          <t>Si trova nella Scheda dei costi di ogni fondo e nel Comparatore dei costi sul sito della COVIP.</t>
        </is>
      </c>
    </row>
    <row r="26">
      <c r="A26" s="67" t="inlineStr">
        <is>
          <t>rendimento-netto</t>
        </is>
      </c>
      <c r="B26" s="67" t="inlineStr">
        <is>
          <t>Costi e rendimenti</t>
        </is>
      </c>
      <c r="C26" s="67" t="inlineStr">
        <is>
          <t>Rendimento netto medio annuo</t>
        </is>
      </c>
      <c r="D26" s="67" t="n"/>
      <c r="E26" s="67" t="inlineStr">
        <is>
          <t>Di quanto è cresciuto in media, ogni anno, il valore del comparto, già al netto di costi e tasse, su un periodo dato (qui di solito 10 anni, per alcuni comparti 3 o 5). Si confrontano solo rendimenti dello stesso periodo, e quelli passati non garantiscono quelli futuri.</t>
        </is>
      </c>
      <c r="F26" s="68" t="inlineStr">
        <is>
          <t>COVIP – Guida introduttiva alla previdenza complementare (settembre 2018)</t>
        </is>
      </c>
      <c r="G26" s="76" t="n">
        <v>46303</v>
      </c>
      <c r="H26" s="67" t="inlineStr">
        <is>
          <t>Guida introduttiva COVIP, p. 17 (rendimenti medi annui composti a 3, 5 e 10 anni) e p. 8 (rendimenti al netto della fiscalità).</t>
        </is>
      </c>
    </row>
    <row r="27">
      <c r="A27" s="67" t="inlineStr">
        <is>
          <t>tfr</t>
        </is>
      </c>
      <c r="B27" s="67" t="inlineStr">
        <is>
          <t>Versamenti e uscite anticipate</t>
        </is>
      </c>
      <c r="C27" s="67" t="inlineStr">
        <is>
          <t>TFR</t>
        </is>
      </c>
      <c r="D27" s="67" t="inlineStr">
        <is>
          <t>Trattamento di fine rapporto</t>
        </is>
      </c>
      <c r="E27" s="67" t="inlineStr">
        <is>
          <t>La liquidazione che il datore di lavoro accantona ogni anno per il dipendente, circa il 6,91% della retribuzione lorda, e paga alla fine del rapporto di lavoro. Si può lasciare in azienda, dove si rivaluta dell'1,5% più il 75% dell'inflazione, oppure versare al fondo pensione.</t>
        </is>
      </c>
      <c r="F27" s="68" t="inlineStr">
        <is>
          <t>COVIP – Glossario</t>
        </is>
      </c>
      <c r="G27" s="76" t="n">
        <v>46303</v>
      </c>
      <c r="H27" s="67" t="inlineStr">
        <is>
          <t>6,91% della retribuzione lorda: esempi della Guida introduttiva COVIP (2018).</t>
        </is>
      </c>
    </row>
    <row r="28">
      <c r="A28" s="67" t="inlineStr">
        <is>
          <t>deducibilita</t>
        </is>
      </c>
      <c r="B28" s="67" t="inlineStr">
        <is>
          <t>Versamenti e uscite anticipate</t>
        </is>
      </c>
      <c r="C28" s="67" t="inlineStr">
        <is>
          <t>Deducibilità</t>
        </is>
      </c>
      <c r="D28" s="67" t="n"/>
      <c r="E28" s="67" t="inlineStr">
        <is>
          <t>I contributi versati al fondo (escluso il TFR) si sottraggono dal reddito su cui si calcolano le tasse, fino a 5.300 € l'anno dal 2026: si risparmia IRPEF secondo la propria aliquota.</t>
        </is>
      </c>
      <c r="F28" s="68" t="inlineStr">
        <is>
          <t>COVIP – Glossario</t>
        </is>
      </c>
      <c r="G28" s="76" t="n">
        <v>46303</v>
      </c>
      <c r="H28" s="67" t="inlineStr">
        <is>
          <t>Limite annuo: Legge 199/2025 (vedi Regole, “Deducibilità”).</t>
        </is>
      </c>
    </row>
    <row r="29">
      <c r="A29" s="67" t="inlineStr">
        <is>
          <t>anticipazione</t>
        </is>
      </c>
      <c r="B29" s="67" t="inlineStr">
        <is>
          <t>Versamenti e uscite anticipate</t>
        </is>
      </c>
      <c r="C29" s="67" t="inlineStr">
        <is>
          <t>Anticipazione</t>
        </is>
      </c>
      <c r="D29" s="67" t="n"/>
      <c r="E29" s="67" t="inlineStr">
        <is>
          <t>Una parte della posizione chiesta prima della pensione per spese sanitarie gravi, per la prima casa o per altre esigenze, nei limiti di legge. Riduce la pensione futura, ma si può reintegrare rimettendo i soldi nel fondo.</t>
        </is>
      </c>
      <c r="F29" s="68" t="inlineStr">
        <is>
          <t>COVIP – Glossario</t>
        </is>
      </c>
      <c r="G29" s="76" t="n">
        <v>46303</v>
      </c>
      <c r="H29" s="67" t="inlineStr">
        <is>
          <t>Limiti, tempi e tasse: vedi Regole, tema “Prima della pensione”.</t>
        </is>
      </c>
    </row>
    <row r="30">
      <c r="A30" s="67" t="inlineStr">
        <is>
          <t>riscatto</t>
        </is>
      </c>
      <c r="B30" s="67" t="inlineStr">
        <is>
          <t>Versamenti e uscite anticipate</t>
        </is>
      </c>
      <c r="C30" s="67" t="inlineStr">
        <is>
          <t>Riscatto</t>
        </is>
      </c>
      <c r="D30" s="67" t="n"/>
      <c r="E30" s="67" t="inlineStr">
        <is>
          <t>Il ritiro in un'unica soluzione, prima della pensione, del 50% o di tutta la posizione, in casi precisi: perdita del lavoro, invalidità, perdita dei requisiti di partecipazione. In caso di decesso la posizione viene riscattata dai beneficiari o dagli eredi.</t>
        </is>
      </c>
      <c r="F30" s="68" t="inlineStr">
        <is>
          <t>COVIP – Glossario</t>
        </is>
      </c>
      <c r="G30" s="76" t="n">
        <v>46303</v>
      </c>
      <c r="H30" s="67" t="inlineStr">
        <is>
          <t>Decesso: D.Lgs. 252/2005, art. 14 c. 3.</t>
        </is>
      </c>
    </row>
    <row r="31">
      <c r="A31" s="67" t="inlineStr">
        <is>
          <t>rita</t>
        </is>
      </c>
      <c r="B31" s="67" t="inlineStr">
        <is>
          <t>Versamenti e uscite anticipate</t>
        </is>
      </c>
      <c r="C31" s="67" t="inlineStr">
        <is>
          <t>RITA</t>
        </is>
      </c>
      <c r="D31" s="67" t="inlineStr">
        <is>
          <t>Rendita integrativa temporanea anticipata</t>
        </is>
      </c>
      <c r="E31" s="67" t="inlineStr">
        <is>
          <t>La posizione pagata a rate fino all'età della pensione di vecchiaia, per chi ha smesso di lavorare e ne è vicino: al massimo 5 anni, o 10 se è senza lavoro da più di 24 mesi. Servono almeno 5 anni di partecipazione.</t>
        </is>
      </c>
      <c r="F31" s="68" t="inlineStr">
        <is>
          <t>COVIP – Glossario</t>
        </is>
      </c>
      <c r="G31" s="76" t="n">
        <v>46303</v>
      </c>
      <c r="H31" s="67" t="n"/>
    </row>
    <row r="32">
      <c r="A32" s="67" t="inlineStr">
        <is>
          <t>trasferimento</t>
        </is>
      </c>
      <c r="B32" s="67" t="inlineStr">
        <is>
          <t>Versamenti e uscite anticipate</t>
        </is>
      </c>
      <c r="C32" s="67" t="inlineStr">
        <is>
          <t>Trasferimento</t>
        </is>
      </c>
      <c r="D32" s="67" t="n"/>
      <c r="E32" s="67" t="inlineStr">
        <is>
          <t>Spostare tutta la posizione in un altro fondo pensione: si può dopo 2 anni di iscrizione, o prima se cambi lavoro. Non si pagano tasse e l'anzianità di iscrizione si conserva.</t>
        </is>
      </c>
      <c r="F32" s="68" t="inlineStr">
        <is>
          <t>COVIP – Glossario</t>
        </is>
      </c>
      <c r="G32" s="76" t="n">
        <v>46303</v>
      </c>
      <c r="H32" s="67" t="inlineStr">
        <is>
          <t>Il fondo che lasci può applicare una spesa fissa per il trasferimento.</t>
        </is>
      </c>
    </row>
    <row r="33">
      <c r="A33" s="67" t="inlineStr">
        <is>
          <t>capitale</t>
        </is>
      </c>
      <c r="B33" s="67" t="inlineStr">
        <is>
          <t>Alla pensione</t>
        </is>
      </c>
      <c r="C33" s="67" t="inlineStr">
        <is>
          <t>Prestazione in capitale</t>
        </is>
      </c>
      <c r="D33" s="67" t="n"/>
      <c r="E33" s="67" t="inlineStr">
        <is>
          <t>La parte della posizione che alla pensione si riceve subito, in un'unica soluzione: fino al 50% del montante. Si può avere tutto in capitale solo se la rendita sarebbe molto bassa oppure per i “vecchi iscritti”.</t>
        </is>
      </c>
      <c r="F33" s="68" t="inlineStr">
        <is>
          <t>COVIP – Glossario</t>
        </is>
      </c>
      <c r="G33" s="76" t="n">
        <v>46303</v>
      </c>
      <c r="H33" s="67" t="inlineStr">
        <is>
          <t>Il 60% annunciato dalla Legge 199/2025 non è mai entrato in vigore: vedi Regole, “Capitale”.</t>
        </is>
      </c>
    </row>
    <row r="34">
      <c r="A34" s="67" t="inlineStr">
        <is>
          <t>vecchio-iscritto</t>
        </is>
      </c>
      <c r="B34" s="67" t="inlineStr">
        <is>
          <t>Alla pensione</t>
        </is>
      </c>
      <c r="C34" s="67" t="inlineStr">
        <is>
          <t>Vecchio iscritto</t>
        </is>
      </c>
      <c r="D34" s="67" t="n"/>
      <c r="E34" s="67" t="inlineStr">
        <is>
          <t>Chi, assunto prima del 29 aprile 1993, entro quella data era già iscritto a un fondo pensione esistente al 15 novembre 1992. Alla pensione può prendere tutta la prestazione in capitale; la condizione si perde con il riscatto dell'intera posizione.</t>
        </is>
      </c>
      <c r="F34" s="68" t="inlineStr">
        <is>
          <t>D.Lgs. 252/2005 – testo COVIP aggiornato alla Legge 199/2025</t>
        </is>
      </c>
      <c r="G34" s="76" t="n">
        <v>46303</v>
      </c>
      <c r="H34" s="67" t="inlineStr">
        <is>
          <t>Art. 23 c. 7 del D.Lgs. 252/2005 e Guida introduttiva COVIP, p. 26. Il glossario COVIP (voce “Iscritti”) lo descrive in modo diverso: iscritto alla previdenza obbligatoria prima del 29/4/1993 e alla complementare prima dell'entrata in vigore della Legge 421/1992.</t>
        </is>
      </c>
    </row>
    <row r="35">
      <c r="A35" s="67" t="inlineStr">
        <is>
          <t>rendita-vitalizia</t>
        </is>
      </c>
      <c r="B35" s="67" t="inlineStr">
        <is>
          <t>Alla pensione</t>
        </is>
      </c>
      <c r="C35" s="67" t="inlineStr">
        <is>
          <t>Rendita vitalizia</t>
        </is>
      </c>
      <c r="D35" s="67" t="n"/>
      <c r="E35" s="67" t="inlineStr">
        <is>
          <t>Una pensione pagata per tutta la vita, dal fondo o da un'assicurazione convenzionata, in cambio del montante. Protegge dal rischio di longevità; nella forma base, alla morte il capitale residuo non viene restituito.</t>
        </is>
      </c>
      <c r="F35" s="68" t="inlineStr">
        <is>
          <t>COVIP – Glossario</t>
        </is>
      </c>
      <c r="G35" s="76" t="n">
        <v>46303</v>
      </c>
      <c r="H35" s="67" t="inlineStr">
        <is>
          <t>Forma base e varianti: Esempio COVIP di supplemento alla Nota informativa (28/7/2026).</t>
        </is>
      </c>
    </row>
    <row r="36">
      <c r="A36" s="67" t="inlineStr">
        <is>
          <t>coefficiente-trasformazione</t>
        </is>
      </c>
      <c r="B36" s="67" t="inlineStr">
        <is>
          <t>Alla pensione</t>
        </is>
      </c>
      <c r="C36" s="67" t="inlineStr">
        <is>
          <t>Coefficiente di trasformazione</t>
        </is>
      </c>
      <c r="D36" s="67" t="n"/>
      <c r="E36" s="67" t="inlineStr">
        <is>
          <t>Il numero che trasforma il montante in rendita annua. Dipende dall'età alla pensione, dalla speranza di vita, dal tasso tecnico e dai costi, e cambia da fondo a fondo: a parità di montante, un coefficiente più alto dà una rendita più alta.</t>
        </is>
      </c>
      <c r="F36" s="68" t="inlineStr">
        <is>
          <t>COVIP – Glossario</t>
        </is>
      </c>
      <c r="G36" s="76" t="n">
        <v>46303</v>
      </c>
      <c r="H36" s="67" t="inlineStr">
        <is>
          <t>Da cosa dipende: Guida introduttiva COVIP, p. 27.</t>
        </is>
      </c>
    </row>
    <row r="37">
      <c r="A37" s="67" t="inlineStr">
        <is>
          <t>tasso-tecnico</t>
        </is>
      </c>
      <c r="B37" s="67" t="inlineStr">
        <is>
          <t>Alla pensione</t>
        </is>
      </c>
      <c r="C37" s="67" t="inlineStr">
        <is>
          <t>Tasso tecnico</t>
        </is>
      </c>
      <c r="D37" s="67" t="n"/>
      <c r="E37" s="67" t="inlineStr">
        <is>
          <t>Il rendimento minimo garantito considerato nel calcolo della rendita, al momento in cui viene fissata. È uno degli elementi del coefficiente di trasformazione.</t>
        </is>
      </c>
      <c r="F37" s="68" t="inlineStr">
        <is>
          <t>COVIP – Guida introduttiva alla previdenza complementare (settembre 2018)</t>
        </is>
      </c>
      <c r="G37" s="76" t="n">
        <v>46303</v>
      </c>
      <c r="H37" s="67" t="inlineStr">
        <is>
          <t>Guida introduttiva COVIP, p. 27.</t>
        </is>
      </c>
    </row>
    <row r="38">
      <c r="A38" s="67" t="inlineStr">
        <is>
          <t>rendita-reversibile</t>
        </is>
      </c>
      <c r="B38" s="67" t="inlineStr">
        <is>
          <t>Alla pensione</t>
        </is>
      </c>
      <c r="C38" s="67" t="inlineStr">
        <is>
          <t>Rendita reversibile</t>
        </is>
      </c>
      <c r="D38" s="67" t="n"/>
      <c r="E38" s="67" t="inlineStr">
        <is>
          <t>Rendita vitalizia che, alla tua morte, continua in tutto o in parte a una persona che hai indicato. La rata è più bassa di quella della rendita vitalizia base.</t>
        </is>
      </c>
      <c r="F38" s="68" t="inlineStr">
        <is>
          <t>COVIP – Esempio di supplemento alla Nota informativa per i fondi aperti (28 luglio 2026)</t>
        </is>
      </c>
      <c r="G38" s="76" t="n">
        <v>46303</v>
      </c>
      <c r="H38" s="67" t="n"/>
    </row>
    <row r="39">
      <c r="A39" s="67" t="inlineStr">
        <is>
          <t>rendita-certa</t>
        </is>
      </c>
      <c r="B39" s="67" t="inlineStr">
        <is>
          <t>Alla pensione</t>
        </is>
      </c>
      <c r="C39" s="67" t="inlineStr">
        <is>
          <t>Rendita certa e poi vitalizia</t>
        </is>
      </c>
      <c r="D39" s="67" t="n"/>
      <c r="E39" s="67" t="inlineStr">
        <is>
          <t>Rendita pagata comunque per un numero definito di anni, anche alla persona che hai indicato se muori prima, e poi per tutta la vita. La rata è più bassa di quella della rendita vitalizia base.</t>
        </is>
      </c>
      <c r="F39" s="68" t="inlineStr">
        <is>
          <t>COVIP – Esempio di supplemento alla Nota informativa per i fondi aperti (28 luglio 2026)</t>
        </is>
      </c>
      <c r="G39" s="76" t="n">
        <v>46303</v>
      </c>
      <c r="H39" s="67" t="n"/>
    </row>
    <row r="40">
      <c r="A40" s="67" t="inlineStr">
        <is>
          <t>rendita-controassicurata</t>
        </is>
      </c>
      <c r="B40" s="67" t="inlineStr">
        <is>
          <t>Alla pensione</t>
        </is>
      </c>
      <c r="C40" s="67" t="inlineStr">
        <is>
          <t>Rendita controassicurata</t>
        </is>
      </c>
      <c r="D40" s="67" t="n"/>
      <c r="E40" s="67" t="inlineStr">
        <is>
          <t>Rendita vitalizia con restituzione del capitale: alla tua morte, la persona che hai indicato riceve il capitale residuo non ancora pagato. La rata è più bassa di quella della rendita vitalizia base.</t>
        </is>
      </c>
      <c r="F40" s="68" t="inlineStr">
        <is>
          <t>COVIP – Esempio di supplemento alla Nota informativa per i fondi aperti (28 luglio 2026)</t>
        </is>
      </c>
      <c r="G40" s="76" t="n">
        <v>46303</v>
      </c>
      <c r="H40" s="67" t="n"/>
    </row>
    <row r="41">
      <c r="A41" s="67" t="inlineStr">
        <is>
          <t>ltc</t>
        </is>
      </c>
      <c r="B41" s="67" t="inlineStr">
        <is>
          <t>Alla pensione</t>
        </is>
      </c>
      <c r="C41" s="67" t="inlineStr">
        <is>
          <t>LTC</t>
        </is>
      </c>
      <c r="D41" s="67" t="inlineStr">
        <is>
          <t>Long-term care</t>
        </is>
      </c>
      <c r="E41" s="67" t="inlineStr">
        <is>
          <t>Copertura assicurativa abbinata alla rendita, che la aumenta se si perde l'autosufficienza.</t>
        </is>
      </c>
      <c r="F41" s="68" t="inlineStr">
        <is>
          <t>COVIP – Glossario</t>
        </is>
      </c>
      <c r="G41" s="76" t="n">
        <v>46303</v>
      </c>
      <c r="H41" s="67" t="inlineStr">
        <is>
          <t>Rendita con copertura LTC: Guida introduttiva COVIP, p. 27.</t>
        </is>
      </c>
    </row>
    <row r="42">
      <c r="A42" s="67" t="inlineStr">
        <is>
          <t>rendita-durata-definita</t>
        </is>
      </c>
      <c r="B42" s="67" t="inlineStr">
        <is>
          <t>Alla pensione</t>
        </is>
      </c>
      <c r="C42" s="67" t="inlineStr">
        <is>
          <t>Rendita a durata definita</t>
        </is>
      </c>
      <c r="D42" s="67" t="n"/>
      <c r="E42" s="67" t="inlineStr">
        <is>
          <t>Dal 1° luglio 2026, alternativa alla vitalizia: rate per un numero di anni pari alla vita attesa secondo le tavole ISTAT. Il capitale resta investito, ogni rata è il residuo diviso per le rate che mancano, e alla morte il residuo va ai beneficiari.</t>
        </is>
      </c>
      <c r="F42" s="68" t="inlineStr">
        <is>
          <t>COVIP – Glossario</t>
        </is>
      </c>
      <c r="G42" s="76" t="n">
        <v>46303</v>
      </c>
      <c r="H42" s="67" t="inlineStr">
        <is>
          <t>Non protegge da una vita più lunga del previsto: vedi Regole e il grafico della longevità.</t>
        </is>
      </c>
    </row>
    <row r="43">
      <c r="A43" s="67" t="inlineStr">
        <is>
          <t>prelievi-liberi</t>
        </is>
      </c>
      <c r="B43" s="67" t="inlineStr">
        <is>
          <t>Alla pensione</t>
        </is>
      </c>
      <c r="C43" s="67" t="inlineStr">
        <is>
          <t>Prelievi liberi</t>
        </is>
      </c>
      <c r="D43" s="67" t="inlineStr">
        <is>
          <t>Prelievi liberamente determinabili</t>
        </is>
      </c>
      <c r="E43" s="67" t="inlineStr">
        <is>
          <t>Dal 1° luglio 2026, alternativa alla vitalizia: prelevi quando vuoi, entro la somma delle rate maturate e non ancora riscosse di una rendita teorica a durata definita. Il resto resta investito.</t>
        </is>
      </c>
      <c r="F43" s="68" t="inlineStr">
        <is>
          <t>COVIP – Glossario</t>
        </is>
      </c>
      <c r="G43" s="76" t="n">
        <v>46303</v>
      </c>
      <c r="H43" s="67" t="n"/>
    </row>
    <row r="44">
      <c r="A44" s="67" t="inlineStr">
        <is>
          <t>erogazione-frazionata</t>
        </is>
      </c>
      <c r="B44" s="67" t="inlineStr">
        <is>
          <t>Alla pensione</t>
        </is>
      </c>
      <c r="C44" s="67" t="inlineStr">
        <is>
          <t>Erogazione frazionata</t>
        </is>
      </c>
      <c r="D44" s="67" t="n"/>
      <c r="E44" s="67" t="inlineStr">
        <is>
          <t>Dal 31 ottobre 2026: il montante pagato a rate per un periodo che scegli tu, di almeno 5 anni, indipendente dalla speranza di vita. Ha una tassazione meno favorevole delle altre forme.</t>
        </is>
      </c>
      <c r="F44" s="68" t="inlineStr">
        <is>
          <t>COVIP – Glossario</t>
        </is>
      </c>
      <c r="G44" s="76" t="n">
        <v>46303</v>
      </c>
      <c r="H44" s="67" t="inlineStr">
        <is>
          <t>Tassazione: vedi Regole, “Tasse sulle prestazioni”.</t>
        </is>
      </c>
    </row>
    <row r="45">
      <c r="A45" s="67" t="inlineStr">
        <is>
          <t>documento-rendite</t>
        </is>
      </c>
      <c r="B45" s="67" t="inlineStr">
        <is>
          <t>Alla pensione</t>
        </is>
      </c>
      <c r="C45" s="67" t="inlineStr">
        <is>
          <t>Documento sulle rendite</t>
        </is>
      </c>
      <c r="D45" s="67" t="n"/>
      <c r="E45" s="67" t="inlineStr">
        <is>
          <t>Documento del fondo che spiega nel dettaglio le prestazioni in rendita e, dal 2026, come si calcolano le rate e i prelievi delle nuove forme.</t>
        </is>
      </c>
      <c r="F45" s="68" t="inlineStr">
        <is>
          <t>COVIP – Istruzioni sulle prestazioni (deliberazione 25 giugno 2026)</t>
        </is>
      </c>
      <c r="G45" s="76" t="n">
        <v>46303</v>
      </c>
      <c r="H45" s="67" t="n"/>
    </row>
    <row r="46">
      <c r="A46" s="67" t="inlineStr">
        <is>
          <t>supplemento-nota</t>
        </is>
      </c>
      <c r="B46" s="67" t="inlineStr">
        <is>
          <t>Alla pensione</t>
        </is>
      </c>
      <c r="C46" s="67" t="inlineStr">
        <is>
          <t>Supplemento alla Nota informativa</t>
        </is>
      </c>
      <c r="D46" s="67" t="n"/>
      <c r="E46" s="67" t="inlineStr">
        <is>
          <t>Documento che dal 2026 ogni fondo pubblica sul proprio sito per descrivere le prestazioni: tipi di rendita e nuove forme offerti, con condizioni e costi. Serve a confrontare i fondi in vista della pensione.</t>
        </is>
      </c>
      <c r="F46" s="68" t="inlineStr">
        <is>
          <t>COVIP – Istruzioni sulle prestazioni (deliberazione 25 giugno 2026)</t>
        </is>
      </c>
      <c r="G46" s="76" t="n">
        <v>46303</v>
      </c>
      <c r="H46" s="67" t="inlineStr">
        <is>
          <t>La COVIP ne ha pubblicato un esempio per i fondi aperti il 28/7/2026.</t>
        </is>
      </c>
    </row>
    <row r="47">
      <c r="A47" s="67" t="inlineStr">
        <is>
          <t>rischio-longevita</t>
        </is>
      </c>
      <c r="B47" s="67" t="inlineStr">
        <is>
          <t>Longevità e decesso</t>
        </is>
      </c>
      <c r="C47" s="67" t="inlineStr">
        <is>
          <t>Rischio di longevità</t>
        </is>
      </c>
      <c r="D47" s="67" t="n"/>
      <c r="E47" s="67" t="inlineStr">
        <is>
          <t>Il rischio di vivere più a lungo del previsto e di finire i risparmi. La rendita vitalizia protegge da questo rischio; il capitale e le nuove forme a rate no.</t>
        </is>
      </c>
      <c r="F47" s="68" t="inlineStr">
        <is>
          <t>COVIP – Glossario</t>
        </is>
      </c>
      <c r="G47" s="76" t="n">
        <v>46303</v>
      </c>
      <c r="H47" s="67" t="inlineStr">
        <is>
          <t>Guida introduttiva COVIP, pp. 26–27.</t>
        </is>
      </c>
    </row>
    <row r="48">
      <c r="A48" s="67" t="inlineStr">
        <is>
          <t>speranza-vita</t>
        </is>
      </c>
      <c r="B48" s="67" t="inlineStr">
        <is>
          <t>Longevità e decesso</t>
        </is>
      </c>
      <c r="C48" s="67" t="inlineStr">
        <is>
          <t>Speranza di vita</t>
        </is>
      </c>
      <c r="D48" s="67" t="n"/>
      <c r="E48" s="67" t="inlineStr">
        <is>
          <t>Quanti anni, in media, vive ancora chi ha raggiunto una certa età. È una media: molte persone vivono più a lungo.</t>
        </is>
      </c>
      <c r="F48" s="68" t="inlineStr">
        <is>
          <t>COVIP – Glossario</t>
        </is>
      </c>
      <c r="G48" s="76" t="n">
        <v>46303</v>
      </c>
      <c r="H48" s="67" t="n"/>
    </row>
    <row r="49">
      <c r="A49" s="67" t="inlineStr">
        <is>
          <t>tavole-mortalita</t>
        </is>
      </c>
      <c r="B49" s="67" t="inlineStr">
        <is>
          <t>Longevità e decesso</t>
        </is>
      </c>
      <c r="C49" s="67" t="inlineStr">
        <is>
          <t>Tavole di mortalità</t>
        </is>
      </c>
      <c r="D49" s="67" t="n"/>
      <c r="E49" s="67" t="inlineStr">
        <is>
          <t>Statistiche su quante persone sopravvivono a ogni età, per età e sesso; in Italia le pubblica l'ISTAT. Servono a calcolare la speranza di vita, i coefficienti della rendita vitalizia e la durata della rendita a durata definita.</t>
        </is>
      </c>
      <c r="F49" s="68" t="inlineStr">
        <is>
          <t>COVIP – Glossario</t>
        </is>
      </c>
      <c r="G49" s="76" t="n">
        <v>46303</v>
      </c>
      <c r="H49" s="67" t="n"/>
    </row>
    <row r="50">
      <c r="A50" s="67" t="inlineStr">
        <is>
          <t>beneficiari</t>
        </is>
      </c>
      <c r="B50" s="67" t="inlineStr">
        <is>
          <t>Longevità e decesso</t>
        </is>
      </c>
      <c r="C50" s="67" t="inlineStr">
        <is>
          <t>Beneficiari designati</t>
        </is>
      </c>
      <c r="D50" s="67" t="n"/>
      <c r="E50" s="67" t="inlineStr">
        <is>
          <t>Le persone, o gli enti, che indichi al fondo perché ricevano la posizione se muori prima della pensione, o il capitale residuo delle nuove forme a rate. Se non ne indichi, la posizione va agli eredi.</t>
        </is>
      </c>
      <c r="F50" s="68" t="inlineStr">
        <is>
          <t>D.Lgs. 252/2005 – testo COVIP aggiornato alla Legge 199/2025</t>
        </is>
      </c>
      <c r="G50" s="76" t="n">
        <v>46303</v>
      </c>
      <c r="H50" s="67" t="inlineStr">
        <is>
          <t>Art. 14 c. 3. Per le nuove forme indicarli è obbligatorio (Istruzioni COVIP del 25/6/2026).</t>
        </is>
      </c>
    </row>
  </sheetData>
  <autoFilter ref="A1:H50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4" customWidth="1" min="2" max="2"/>
    <col width="28" customWidth="1" min="3" max="3"/>
    <col width="18" customWidth="1" min="4" max="4"/>
    <col width="20" customWidth="1" min="5" max="5"/>
    <col width="18" customWidth="1" min="6" max="6"/>
    <col width="22" customWidth="1" min="7" max="7"/>
    <col width="12" customWidth="1" min="8" max="8"/>
    <col width="16" customWidth="1" min="9" max="9"/>
    <col width="13" customWidth="1" min="10" max="10"/>
    <col width="10" customWidth="1" min="11" max="11"/>
    <col width="50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34" customWidth="1" min="18" max="18"/>
    <col width="60" customWidth="1" min="19" max="19"/>
    <col width="34" customWidth="1" min="20" max="20"/>
    <col width="12" customWidth="1" min="21" max="21"/>
    <col width="80" customWidth="1" min="22" max="22"/>
  </cols>
  <sheetData>
    <row r="1">
      <c r="A1" s="66" t="inlineStr">
        <is>
          <t>Fondo</t>
        </is>
      </c>
      <c r="B1" s="66" t="inlineStr">
        <is>
          <t>Documento sulle rendite (fonte)</t>
        </is>
      </c>
      <c r="C1" s="66" t="inlineStr">
        <is>
          <t>Compagnia che paga la rendita</t>
        </is>
      </c>
      <c r="D1" s="66" t="inlineStr">
        <is>
          <t>Rendita reversibile</t>
        </is>
      </c>
      <c r="E1" s="66" t="inlineStr">
        <is>
          <t>Rendita certa e poi vitalizia</t>
        </is>
      </c>
      <c r="F1" s="66" t="inlineStr">
        <is>
          <t>Rendita controassicurata</t>
        </is>
      </c>
      <c r="G1" s="66" t="inlineStr">
        <is>
          <t>Rendita con LTC (non autosufficienza)</t>
        </is>
      </c>
      <c r="H1" s="66" t="inlineStr">
        <is>
          <t>N. varianti oltre alla vitalizia</t>
        </is>
      </c>
      <c r="I1" s="66" t="inlineStr">
        <is>
          <t>Rendita annua a 67 anni ogni 10.000 €</t>
        </is>
      </c>
      <c r="J1" s="66" t="inlineStr">
        <is>
          <t>Tasso di conversione a 67 anni</t>
        </is>
      </c>
      <c r="K1" s="66" t="inlineStr">
        <is>
          <t>Tasso tecnico</t>
        </is>
      </c>
      <c r="L1" s="66" t="inlineStr">
        <is>
          <t>Basi del coefficiente</t>
        </is>
      </c>
      <c r="M1" s="66" t="inlineStr">
        <is>
          <t>Costo della rendita (rata annuale)</t>
        </is>
      </c>
      <c r="N1" s="66" t="inlineStr">
        <is>
          <t>Costo anticipazione (€)</t>
        </is>
      </c>
      <c r="O1" s="66" t="inlineStr">
        <is>
          <t>Costo riscatto (€)</t>
        </is>
      </c>
      <c r="P1" s="66" t="inlineStr">
        <is>
          <t>Costo trasferimento (€)</t>
        </is>
      </c>
      <c r="Q1" s="66" t="inlineStr">
        <is>
          <t>Costo RITA (€)</t>
        </is>
      </c>
      <c r="R1" s="66" t="inlineStr">
        <is>
          <t>Scheda costi (fonte)</t>
        </is>
      </c>
      <c r="S1" s="66" t="inlineStr">
        <is>
          <t>Nuove prestazioni (durata definita e prelievi)</t>
        </is>
      </c>
      <c r="T1" s="66" t="inlineStr">
        <is>
          <t>Supplemento alla Nota informativa (fonte)</t>
        </is>
      </c>
      <c r="U1" s="66" t="inlineStr">
        <is>
          <t>Consultata il</t>
        </is>
      </c>
      <c r="V1" s="66" t="inlineStr">
        <is>
          <t>Note</t>
        </is>
      </c>
    </row>
    <row r="2">
      <c r="A2" s="67" t="str">
        <f>Sheet1!$A$3</f>
        <v>ALLIANZ PREVIDENZA FONDO PENSIONE APERTO A CONTRIBUZIONE DEFINITA</v>
      </c>
      <c r="B2" s="68" t="inlineStr">
        <is>
          <t>Documento sulle rendite (luglio 2026)</t>
        </is>
      </c>
      <c r="C2" s="67" t="inlineStr">
        <is>
          <t>Allianz S.p.A.</t>
        </is>
      </c>
      <c r="D2" s="67" t="inlineStr">
        <is>
          <t>Sì (100% o 60%)</t>
        </is>
      </c>
      <c r="E2" s="67" t="inlineStr">
        <is>
          <t>Sì (5 o 10 anni)</t>
        </is>
      </c>
      <c r="F2" s="67" t="inlineStr">
        <is>
          <t>Sì (cashback)</t>
        </is>
      </c>
      <c r="G2" s="67" t="inlineStr">
        <is>
          <t>Sì (rendita raddoppiata, con questionario medico)</t>
        </is>
      </c>
      <c r="H2" s="78">
        <f>COUNTIF(D2:G2,"Sì*")</f>
        <v>4</v>
      </c>
      <c r="I2" s="79" t="n">
        <v>462.5</v>
      </c>
      <c r="J2" s="80">
        <f>IF(I2="","",I2/10000)</f>
        <v>0.04625</v>
      </c>
      <c r="K2" s="81" t="n">
        <v>0.005</v>
      </c>
      <c r="L2" s="67" t="inlineStr">
        <is>
          <t>Tavola AZPS62, nati 1955–1962 senza correzione d'età, tasso tecnico 0,5% (rata iniziale più alta, rivalutazioni più basse)</t>
        </is>
      </c>
      <c r="M2" s="80" t="n">
        <v>0.018</v>
      </c>
      <c r="N2" s="79" t="n">
        <v>0</v>
      </c>
      <c r="O2" s="79" t="n">
        <v>0</v>
      </c>
      <c r="P2" s="79" t="n">
        <v>25</v>
      </c>
      <c r="Q2" s="79" t="n">
        <v>0</v>
      </c>
      <c r="R2" s="68" t="inlineStr">
        <is>
          <t>Nota informativa, scheda I costi (settembre 2026)</t>
        </is>
      </c>
      <c r="S2" s="67" t="inlineStr">
        <is>
          <t>Rendita a durata definita a rate trimestrali (19 anni a 67 anni); prelievi ogni 3 mesi almeno, minimo 500 €; comparto predefinito Linea Flessibile con garanzia; nessuna spesa di erogazione</t>
        </is>
      </c>
      <c r="T2" s="68" t="inlineStr">
        <is>
          <t>Supplemento alla Nota informativa (settembre 2026)</t>
        </is>
      </c>
      <c r="U2" s="83" t="n">
        <v>46303</v>
      </c>
      <c r="V2" s="67" t="inlineStr">
        <is>
          <t>Costo della rendita dall'1,80% (rata annuale) al 3,30% (mensile); rivalutazione annua con 1,20 punti trattenuti dalla gestione separata VITARIV Group.</t>
        </is>
      </c>
    </row>
    <row r="3">
      <c r="A3" s="67" t="str">
        <f>Sheet1!$A$4</f>
        <v>PREVIDENZA PER TE - FONDO PENSIONE APERTO</v>
      </c>
      <c r="B3" s="68" t="inlineStr">
        <is>
          <t>Documento sull'erogazione delle rendite (luglio 2026)</t>
        </is>
      </c>
      <c r="C3" s="67" t="inlineStr">
        <is>
          <t>AXA MPS Assicurazioni Vita S.p.A.</t>
        </is>
      </c>
      <c r="D3" s="67" t="inlineStr">
        <is>
          <t>Sì (totale o parziale)</t>
        </is>
      </c>
      <c r="E3" s="67" t="inlineStr">
        <is>
          <t>Sì (5 o 10 anni)</t>
        </is>
      </c>
      <c r="F3" s="67" t="inlineStr">
        <is>
          <t>No</t>
        </is>
      </c>
      <c r="G3" s="67" t="inlineStr">
        <is>
          <t>No</t>
        </is>
      </c>
      <c r="H3" s="78">
        <f>COUNTIF(D3:G3,"Sì*")</f>
        <v>2</v>
      </c>
      <c r="I3" s="79" t="n">
        <v>421.6</v>
      </c>
      <c r="J3" s="80">
        <f>IF(I3="","",I3/10000)</f>
        <v>0.04216</v>
      </c>
      <c r="K3" s="81" t="n">
        <v>0</v>
      </c>
      <c r="L3" s="67" t="inlineStr">
        <is>
          <t>Tavola A62I, nati 1958–1966 senza correzione d'età, tasso tecnico 0% (Regolamento, allegato n. 2: 42,16 € per 1.000 €)</t>
        </is>
      </c>
      <c r="M3" s="80" t="n">
        <v>0.0125</v>
      </c>
      <c r="N3" s="79" t="n">
        <v>20</v>
      </c>
      <c r="O3" s="79" t="n">
        <v>20</v>
      </c>
      <c r="P3" s="79" t="n">
        <v>50</v>
      </c>
      <c r="Q3" s="79" t="n">
        <v>5</v>
      </c>
      <c r="R3" s="68" t="inlineStr">
        <is>
          <t>Nota informativa, scheda I costi</t>
        </is>
      </c>
      <c r="S3" s="67" t="inlineStr">
        <is>
          <t>Rendita a durata definita a rate trimestrali, anche per una durata più lunga della vita attesa; prelievi senza importo minimo; 5 € per ogni rata o prelievo</t>
        </is>
      </c>
      <c r="T3" s="68" t="inlineStr">
        <is>
          <t>Informativa sulle nuove prestazioni pensionistiche (luglio 2026)</t>
        </is>
      </c>
      <c r="U3" s="83" t="n">
        <v>46303</v>
      </c>
      <c r="V3" s="67" t="inlineStr">
        <is>
          <t>RITA: 5 € su ogni rata trimestrale. Rivalutazione della rendita con almeno 0,75 punti trattenuti dalla gestione separata MPV12.</t>
        </is>
      </c>
    </row>
    <row r="4">
      <c r="A4" s="67" t="str">
        <f>Sheet1!$A$5</f>
        <v>ALMEGLIO - FONDO PENSIONE APERTO ALLEANZA A CONTRIBUZIONE DEFINITA</v>
      </c>
      <c r="B4" s="68" t="inlineStr">
        <is>
          <t>Documento sulle rendite (luglio 2026)</t>
        </is>
      </c>
      <c r="C4" s="67" t="inlineStr">
        <is>
          <t>Alleanza Assicurazioni S.p.A.</t>
        </is>
      </c>
      <c r="D4" s="67" t="inlineStr">
        <is>
          <t>Sì</t>
        </is>
      </c>
      <c r="E4" s="67" t="n"/>
      <c r="F4" s="67" t="n"/>
      <c r="G4" s="67" t="n"/>
      <c r="H4" s="78">
        <f>COUNTIF(D4:G4,"Sì*")</f>
        <v>1</v>
      </c>
      <c r="I4" s="79" t="n"/>
      <c r="J4" s="80" t="str">
        <f>IF(I4="","",I4/10000)</f>
        <v/>
      </c>
      <c r="K4" s="81" t="n"/>
      <c r="L4" s="67" t="inlineStr">
        <is>
          <t>Coefficienti diversi secondo la data di adesione (tasso tecnico 2,5%, 2% o 1,75%; tavola RG48 per le adesioni più vecchie)</t>
        </is>
      </c>
      <c r="M4" s="80" t="n"/>
      <c r="N4" s="79" t="n">
        <v>0</v>
      </c>
      <c r="O4" s="79" t="n">
        <v>0</v>
      </c>
      <c r="P4" s="79" t="n">
        <v>15.49</v>
      </c>
      <c r="Q4" s="79" t="n">
        <v>0</v>
      </c>
      <c r="R4" s="68" t="inlineStr">
        <is>
          <t>Scheda I costi (maggio 2021)</t>
        </is>
      </c>
      <c r="S4" s="67" t="inlineStr">
        <is>
          <t>Previste dal 1/7/2026 (documento sulle rendite, ed. luglio 2026)</t>
        </is>
      </c>
      <c r="T4" s="67" t="n"/>
      <c r="U4" s="83" t="n">
        <v>46303</v>
      </c>
      <c r="V4" s="67" t="inlineStr">
        <is>
          <t>Fondo chiuso a nuove adesioni, confluisce in Generali Global dal 1/1/2027: coefficienti non confrontabili con quelli di un nuovo iscritto.</t>
        </is>
      </c>
    </row>
    <row r="5">
      <c r="A5" s="67" t="str">
        <f>Sheet1!$A$6</f>
        <v>FONDO PENSIONE FIDEURAM FONDO PENSIONE APERTO</v>
      </c>
      <c r="B5" s="67" t="n"/>
      <c r="C5" s="67" t="n"/>
      <c r="D5" s="67" t="n"/>
      <c r="E5" s="67" t="n"/>
      <c r="F5" s="67" t="n"/>
      <c r="G5" s="67" t="n"/>
      <c r="H5" s="78">
        <f>COUNTIF(D5:G5,"Sì*")</f>
        <v>0</v>
      </c>
      <c r="I5" s="79" t="n"/>
      <c r="J5" s="80" t="str">
        <f>IF(I5="","",I5/10000)</f>
        <v/>
      </c>
      <c r="K5" s="81" t="n"/>
      <c r="L5" s="67" t="n"/>
      <c r="M5" s="80" t="n"/>
      <c r="N5" s="79" t="n"/>
      <c r="O5" s="79" t="n"/>
      <c r="P5" s="79" t="n"/>
      <c r="Q5" s="79" t="n"/>
      <c r="R5" s="67" t="n"/>
      <c r="S5" s="67" t="n"/>
      <c r="T5" s="67" t="n"/>
      <c r="U5" s="83" t="n"/>
      <c r="V5" s="67" t="n"/>
    </row>
    <row r="6">
      <c r="A6" s="67" t="str">
        <f>Sheet1!$A$7</f>
        <v>GENERALI GLOBAL - FONDO PENSIONE APERTO A CONTRIBUZIONE DEFINITA</v>
      </c>
      <c r="B6" s="68" t="inlineStr">
        <is>
          <t>Documento sulle rendite (luglio 2026)</t>
        </is>
      </c>
      <c r="C6" s="67" t="inlineStr">
        <is>
          <t>Generali Italia S.p.A.</t>
        </is>
      </c>
      <c r="D6" s="67" t="inlineStr">
        <is>
          <t>Sì</t>
        </is>
      </c>
      <c r="E6" s="67" t="inlineStr">
        <is>
          <t>Sì (5 o 10 anni)</t>
        </is>
      </c>
      <c r="F6" s="67" t="inlineStr">
        <is>
          <t>Sì</t>
        </is>
      </c>
      <c r="G6" s="67" t="inlineStr">
        <is>
          <t>Sì (rendita raddoppiata)</t>
        </is>
      </c>
      <c r="H6" s="78">
        <f>COUNTIF(D6:G6,"Sì*")</f>
        <v>4</v>
      </c>
      <c r="I6" s="79" t="n">
        <v>424.3</v>
      </c>
      <c r="J6" s="80">
        <f>IF(I6="","",I6/10000)</f>
        <v>0.04243</v>
      </c>
      <c r="K6" s="81" t="n">
        <v>0</v>
      </c>
      <c r="L6" s="67" t="inlineStr">
        <is>
          <t>Tavola A62U unisex, nati 1958–1966 senza correzione d'età, tasso tecnico 0% (Regolamento, allegato A)</t>
        </is>
      </c>
      <c r="M6" s="80" t="n">
        <v>0.008999999999999999</v>
      </c>
      <c r="N6" s="79" t="n">
        <v>20</v>
      </c>
      <c r="O6" s="79" t="n">
        <v>20</v>
      </c>
      <c r="P6" s="79" t="n">
        <v>30</v>
      </c>
      <c r="Q6" s="79" t="n">
        <v>20</v>
      </c>
      <c r="R6" s="68" t="inlineStr">
        <is>
          <t>Nota informativa, scheda I costi (luglio 2026)</t>
        </is>
      </c>
      <c r="S6" s="67" t="inlineStr">
        <is>
          <t>Rate annuali, semestrali, trimestrali o mensili (minimo 200 € a rata); comparto predefinito Obbligazionario Breve Termine; 20 € per accedere, 5 € a rata</t>
        </is>
      </c>
      <c r="T6" s="68" t="inlineStr">
        <is>
          <t>Supplemento alla Nota informativa (luglio 2026)</t>
        </is>
      </c>
      <c r="U6" s="83" t="n">
        <v>46303</v>
      </c>
      <c r="V6" s="67" t="inlineStr">
        <is>
          <t>Coefficienti nel Regolamento (luglio 2026), allegato A all'allegato n. 2.</t>
        </is>
      </c>
    </row>
    <row r="7">
      <c r="A7" s="67" t="str">
        <f>Sheet1!$A$8</f>
        <v>PREVIDSYSTEM - FONDO PENSIONE APERTO</v>
      </c>
      <c r="B7" s="68" t="inlineStr">
        <is>
          <t>Documento sulle rendite (giugno 2026)</t>
        </is>
      </c>
      <c r="C7" s="67" t="inlineStr">
        <is>
          <t>Intesa Sanpaolo Assicurazioni S.p.A.</t>
        </is>
      </c>
      <c r="D7" s="67" t="inlineStr">
        <is>
          <t>Sì (100% o 50%)</t>
        </is>
      </c>
      <c r="E7" s="67" t="inlineStr">
        <is>
          <t>No</t>
        </is>
      </c>
      <c r="F7" s="67" t="inlineStr">
        <is>
          <t>Sì</t>
        </is>
      </c>
      <c r="G7" s="67" t="inlineStr">
        <is>
          <t>No</t>
        </is>
      </c>
      <c r="H7" s="78">
        <f>COUNTIF(D7:G7,"Sì*")</f>
        <v>2</v>
      </c>
      <c r="I7" s="79" t="n">
        <v>429.1</v>
      </c>
      <c r="J7" s="80">
        <f>IF(I7="","",I7/10000)</f>
        <v>0.042910000000000004</v>
      </c>
      <c r="K7" s="81" t="n">
        <v>0</v>
      </c>
      <c r="L7" s="67" t="inlineStr">
        <is>
          <t>Tavola A62D/A per anno di nascita (nati 1958–1966 senza correzione), tasso tecnico 0%</t>
        </is>
      </c>
      <c r="M7" s="80" t="n">
        <v>0.0125</v>
      </c>
      <c r="N7" s="79" t="n">
        <v>20</v>
      </c>
      <c r="O7" s="79" t="n">
        <v>20</v>
      </c>
      <c r="P7" s="79" t="n">
        <v>20</v>
      </c>
      <c r="Q7" s="79" t="n"/>
      <c r="R7" s="68" t="inlineStr">
        <is>
          <t>Nota informativa (marzo 2026)</t>
        </is>
      </c>
      <c r="S7" s="67" t="inlineStr">
        <is>
          <t>Rate mensili, trimestrali o annuali (minimo 150 € a rata); comparto predefinito Crescita Prudente; 20 € per accedere, 2 € a rata</t>
        </is>
      </c>
      <c r="T7" s="68" t="inlineStr">
        <is>
          <t>Supplemento alla Nota informativa (luglio 2026)</t>
        </is>
      </c>
      <c r="U7" s="83" t="n">
        <v>46303</v>
      </c>
      <c r="V7" s="67" t="n"/>
    </row>
    <row r="8">
      <c r="A8" s="67" t="str">
        <f>Sheet1!$A$9</f>
        <v>FONDO PENSIONE APERTO TESEO</v>
      </c>
      <c r="B8" s="67" t="n"/>
      <c r="C8" s="67" t="inlineStr">
        <is>
          <t>Società Reale Mutua di Assicurazioni</t>
        </is>
      </c>
      <c r="D8" s="67" t="n"/>
      <c r="E8" s="67" t="n"/>
      <c r="F8" s="67" t="n"/>
      <c r="G8" s="67" t="n"/>
      <c r="H8" s="78">
        <f>COUNTIF(D8:G8,"Sì*")</f>
        <v>0</v>
      </c>
      <c r="I8" s="79" t="n"/>
      <c r="J8" s="80" t="str">
        <f>IF(I8="","",I8/10000)</f>
        <v/>
      </c>
      <c r="K8" s="81" t="n">
        <v>0.01</v>
      </c>
      <c r="L8" s="67" t="inlineStr">
        <is>
          <t>Tasso tecnico 1% per chi ha aderito dal 21/12/2012 (2% prima); rivalutazione con l'80% del rendimento della gestione separata Previ Reale (scheda I costi)</t>
        </is>
      </c>
      <c r="M8" s="80" t="n">
        <v>0.0125</v>
      </c>
      <c r="N8" s="79" t="n">
        <v>0</v>
      </c>
      <c r="O8" s="79" t="n">
        <v>0</v>
      </c>
      <c r="P8" s="79" t="n">
        <v>0</v>
      </c>
      <c r="Q8" s="79" t="n">
        <v>0</v>
      </c>
      <c r="R8" s="68" t="inlineStr">
        <is>
          <t>Nota informativa, scheda I costi (luglio 2026)</t>
        </is>
      </c>
      <c r="S8" s="67" t="n"/>
      <c r="T8" s="67" t="n"/>
      <c r="U8" s="83" t="n">
        <v>46304</v>
      </c>
      <c r="V8" s="67" t="inlineStr">
        <is>
          <t>Documento sulle rendite non trovato: la Nota informativa rimanda al sito www.fondoteseo.com. Nessuna spesa per anticipazioni, riscatti, trasferimenti e RITA.</t>
        </is>
      </c>
    </row>
    <row r="9">
      <c r="A9" s="67" t="str">
        <f>Sheet1!$A$10</f>
        <v>DESTINAZIONE FUTURO - FONDO PENSIONE APERTO BY CREDEMVITA</v>
      </c>
      <c r="B9" s="67" t="n"/>
      <c r="C9" s="67" t="n"/>
      <c r="D9" s="67" t="n"/>
      <c r="E9" s="67" t="n"/>
      <c r="F9" s="67" t="n"/>
      <c r="G9" s="67" t="n"/>
      <c r="H9" s="78">
        <f>COUNTIF(D9:G9,"Sì*")</f>
        <v>0</v>
      </c>
      <c r="I9" s="79" t="n"/>
      <c r="J9" s="80" t="str">
        <f>IF(I9="","",I9/10000)</f>
        <v/>
      </c>
      <c r="K9" s="81" t="n"/>
      <c r="L9" s="67" t="n"/>
      <c r="M9" s="80" t="n"/>
      <c r="N9" s="79" t="n"/>
      <c r="O9" s="79" t="n"/>
      <c r="P9" s="79" t="n"/>
      <c r="Q9" s="79" t="n"/>
      <c r="R9" s="67" t="n"/>
      <c r="S9" s="67" t="n"/>
      <c r="T9" s="67" t="n"/>
      <c r="U9" s="83" t="n"/>
      <c r="V9" s="67" t="n"/>
    </row>
    <row r="10">
      <c r="A10" s="67" t="str">
        <f>Sheet1!$A$11</f>
        <v>FONDO PENSIONE APERTO VITTORIA FORMULA LAVORO</v>
      </c>
      <c r="B10" s="67" t="n"/>
      <c r="C10" s="67" t="n"/>
      <c r="D10" s="67" t="n"/>
      <c r="E10" s="67" t="n"/>
      <c r="F10" s="67" t="n"/>
      <c r="G10" s="67" t="n"/>
      <c r="H10" s="78">
        <f>COUNTIF(D10:G10,"Sì*")</f>
        <v>0</v>
      </c>
      <c r="I10" s="79" t="n"/>
      <c r="J10" s="80" t="str">
        <f>IF(I10="","",I10/10000)</f>
        <v/>
      </c>
      <c r="K10" s="81" t="n"/>
      <c r="L10" s="67" t="n"/>
      <c r="M10" s="80" t="n"/>
      <c r="N10" s="79" t="n"/>
      <c r="O10" s="79" t="n"/>
      <c r="P10" s="79" t="n"/>
      <c r="Q10" s="79" t="n"/>
      <c r="R10" s="67" t="n"/>
      <c r="S10" s="67" t="n"/>
      <c r="T10" s="67" t="n"/>
      <c r="U10" s="83" t="n"/>
      <c r="V10" s="67" t="n"/>
    </row>
    <row r="11">
      <c r="A11" s="67" t="str">
        <f>Sheet1!$A$12</f>
        <v>ARCA PREVIDENZA FONDO PENSIONE APERTO</v>
      </c>
      <c r="B11" s="67" t="n"/>
      <c r="C11" s="67" t="n"/>
      <c r="D11" s="67" t="n"/>
      <c r="E11" s="67" t="n"/>
      <c r="F11" s="67" t="n"/>
      <c r="G11" s="67" t="n"/>
      <c r="H11" s="78">
        <f>COUNTIF(D11:G11,"Sì*")</f>
        <v>0</v>
      </c>
      <c r="I11" s="79" t="n"/>
      <c r="J11" s="80" t="str">
        <f>IF(I11="","",I11/10000)</f>
        <v/>
      </c>
      <c r="K11" s="81" t="n"/>
      <c r="L11" s="67" t="n"/>
      <c r="M11" s="80" t="n"/>
      <c r="N11" s="79" t="n"/>
      <c r="O11" s="79" t="n"/>
      <c r="P11" s="79" t="n"/>
      <c r="Q11" s="79" t="n"/>
      <c r="R11" s="67" t="n"/>
      <c r="S11" s="67" t="n"/>
      <c r="T11" s="67" t="n"/>
      <c r="U11" s="83" t="n"/>
      <c r="V11" s="67" t="n"/>
    </row>
    <row r="12">
      <c r="A12" s="67" t="str">
        <f>Sheet1!$A$13</f>
        <v>FONDO PENSIONE APERTO UNIPOL PREVIDENZA FPA</v>
      </c>
      <c r="B12" s="67" t="n"/>
      <c r="C12" s="67" t="n"/>
      <c r="D12" s="67" t="n"/>
      <c r="E12" s="67" t="n"/>
      <c r="F12" s="67" t="n"/>
      <c r="G12" s="67" t="n"/>
      <c r="H12" s="78">
        <f>COUNTIF(D12:G12,"Sì*")</f>
        <v>0</v>
      </c>
      <c r="I12" s="79" t="n"/>
      <c r="J12" s="80" t="str">
        <f>IF(I12="","",I12/10000)</f>
        <v/>
      </c>
      <c r="K12" s="81" t="n"/>
      <c r="L12" s="67" t="n"/>
      <c r="M12" s="80" t="n"/>
      <c r="N12" s="79" t="n"/>
      <c r="O12" s="79" t="n"/>
      <c r="P12" s="79" t="n"/>
      <c r="Q12" s="79" t="n"/>
      <c r="R12" s="67" t="n"/>
      <c r="S12" s="67" t="n"/>
      <c r="T12" s="67" t="n"/>
      <c r="U12" s="83" t="n"/>
      <c r="V12" s="67" t="n"/>
    </row>
    <row r="13">
      <c r="A13" s="67" t="str">
        <f>Sheet1!$A$14</f>
        <v>FONDO PENSIONE APERTO VERA VITA</v>
      </c>
      <c r="B13" s="67" t="n"/>
      <c r="C13" s="67" t="n"/>
      <c r="D13" s="67" t="n"/>
      <c r="E13" s="67" t="n"/>
      <c r="F13" s="67" t="n"/>
      <c r="G13" s="67" t="n"/>
      <c r="H13" s="78">
        <f>COUNTIF(D13:G13,"Sì*")</f>
        <v>0</v>
      </c>
      <c r="I13" s="79" t="n"/>
      <c r="J13" s="80" t="str">
        <f>IF(I13="","",I13/10000)</f>
        <v/>
      </c>
      <c r="K13" s="81" t="n"/>
      <c r="L13" s="67" t="n"/>
      <c r="M13" s="80" t="n"/>
      <c r="N13" s="79" t="n"/>
      <c r="O13" s="79" t="n"/>
      <c r="P13" s="79" t="n"/>
      <c r="Q13" s="79" t="n"/>
      <c r="R13" s="67" t="n"/>
      <c r="S13" s="67" t="n"/>
      <c r="T13" s="67" t="n"/>
      <c r="U13" s="83" t="n"/>
      <c r="V13" s="67" t="n"/>
    </row>
    <row r="14">
      <c r="A14" s="67" t="str">
        <f>Sheet1!$A$15</f>
        <v>UNICREDIT - FONDO PENSIONE APERTO A CONTRIBUZIONE DEFINITA</v>
      </c>
      <c r="B14" s="68" t="inlineStr">
        <is>
          <t>Documento sulle rendite (luglio 2026)</t>
        </is>
      </c>
      <c r="C14" s="67" t="inlineStr">
        <is>
          <t>UniCredit Vita Assicurazioni S.p.A. (oggi UniCredit Allianz Vita)</t>
        </is>
      </c>
      <c r="D14" s="67" t="inlineStr">
        <is>
          <t>Sì (totale o parziale)</t>
        </is>
      </c>
      <c r="E14" s="67" t="inlineStr">
        <is>
          <t>Sì (5 o 10 anni)</t>
        </is>
      </c>
      <c r="F14" s="67" t="inlineStr">
        <is>
          <t>No</t>
        </is>
      </c>
      <c r="G14" s="67" t="inlineStr">
        <is>
          <t>No</t>
        </is>
      </c>
      <c r="H14" s="78">
        <f>COUNTIF(D14:G14,"Sì*")</f>
        <v>2</v>
      </c>
      <c r="I14" s="79" t="n"/>
      <c r="J14" s="80" t="str">
        <f>IF(I14="","",I14/10000)</f>
        <v/>
      </c>
      <c r="K14" s="81" t="n">
        <v>0.02</v>
      </c>
      <c r="L14" s="67" t="inlineStr">
        <is>
          <t>Tavola RG48 distinta per sesso, con correzione d'età per anno di nascita, tasso tecnico 2%</t>
        </is>
      </c>
      <c r="M14" s="80" t="n">
        <v>0.018</v>
      </c>
      <c r="N14" s="79" t="n">
        <v>0</v>
      </c>
      <c r="O14" s="79" t="n">
        <v>0</v>
      </c>
      <c r="P14" s="79" t="n">
        <v>50</v>
      </c>
      <c r="Q14" s="79" t="n">
        <v>0</v>
      </c>
      <c r="R14" s="68" t="inlineStr">
        <is>
          <t>Nota informativa, scheda I costi (marzo 2026)</t>
        </is>
      </c>
      <c r="S14" s="67" t="inlineStr">
        <is>
          <t>Rendita a durata definita a rate trimestrali; comparto predefinito Linea Tranquilla; nessuna spesa di erogazione oltre a quelle di gestione</t>
        </is>
      </c>
      <c r="T14" s="68" t="inlineStr">
        <is>
          <t>Supplemento alla Nota informativa (luglio 2026)</t>
        </is>
      </c>
      <c r="U14" s="83" t="n">
        <v>46304</v>
      </c>
      <c r="V14" s="67" t="inlineStr">
        <is>
          <t>Coefficienti diversi per uomini e donne (tavola RG48, tasso tecnico 2%): a 67 anni, prima della correzione per anno di nascita, 684,6 € (uomini) e 575,5 € (donne) l'anno ogni 10.000 €, non confrontabili con i coefficienti unisex degli altri fondi. Documenti pubblicati nell'archivio prodotti di UniCredit Allianz Vita. Costo della rendita dall'1,80% (annuale) al 3,30% (mensile).</t>
        </is>
      </c>
    </row>
    <row r="15">
      <c r="A15" s="67" t="str">
        <f>Sheet1!$A$16</f>
        <v>FONDO PENSIONE APERTO PREVIGEST FUND MEDIOLANUM</v>
      </c>
      <c r="B15" s="68" t="inlineStr">
        <is>
          <t>Documento sull'erogazione delle rendite (luglio 2026)</t>
        </is>
      </c>
      <c r="C15" s="67" t="inlineStr">
        <is>
          <t>Mediolanum Vita S.p.A.</t>
        </is>
      </c>
      <c r="D15" s="67" t="inlineStr">
        <is>
          <t>Sì</t>
        </is>
      </c>
      <c r="E15" s="67" t="inlineStr">
        <is>
          <t>Sì (5 o 10 anni)</t>
        </is>
      </c>
      <c r="F15" s="67" t="inlineStr">
        <is>
          <t>No</t>
        </is>
      </c>
      <c r="G15" s="67" t="inlineStr">
        <is>
          <t>No</t>
        </is>
      </c>
      <c r="H15" s="78">
        <f>COUNTIF(D15:G15,"Sì*")</f>
        <v>2</v>
      </c>
      <c r="I15" s="79" t="n"/>
      <c r="J15" s="80" t="str">
        <f>IF(I15="","",I15/10000)</f>
        <v/>
      </c>
      <c r="K15" s="81" t="n">
        <v>0.01</v>
      </c>
      <c r="L15" s="67" t="inlineStr">
        <is>
          <t>Tavola IPS55U unisex (adesioni individuali), tasso tecnico 1%</t>
        </is>
      </c>
      <c r="M15" s="80" t="n">
        <v>0.0125</v>
      </c>
      <c r="N15" s="79" t="n">
        <v>0</v>
      </c>
      <c r="O15" s="79" t="n">
        <v>0</v>
      </c>
      <c r="P15" s="79" t="n">
        <v>0</v>
      </c>
      <c r="Q15" s="79" t="n">
        <v>0</v>
      </c>
      <c r="R15" s="68" t="inlineStr">
        <is>
          <t>Scheda I costi</t>
        </is>
      </c>
      <c r="S15" s="67" t="inlineStr">
        <is>
          <t>Rate mensili, trimestrali, semestrali o annuali; comparto predefinito Obbligazionario; nessun costo per accedere né a rata</t>
        </is>
      </c>
      <c r="T15" s="68" t="inlineStr">
        <is>
          <t>Supplemento alla Nota informativa (luglio 2026)</t>
        </is>
      </c>
      <c r="U15" s="83" t="n">
        <v>46303</v>
      </c>
      <c r="V15" s="67" t="inlineStr">
        <is>
          <t>I coefficienti non sono pubblicati nel documento sulle rendite (rinvio alle tabelle depositate presso il fondo). Tasso tecnico 1%: rata iniziale più alta, rivalutazioni successive più basse.</t>
        </is>
      </c>
    </row>
    <row r="16">
      <c r="A16" s="67" t="str">
        <f>Sheet1!$A$17</f>
        <v>FONDO PENSIONE APERTO ZURICH CONTRIBUTION</v>
      </c>
      <c r="B16" s="67" t="n"/>
      <c r="C16" s="67" t="n"/>
      <c r="D16" s="67" t="n"/>
      <c r="E16" s="67" t="n"/>
      <c r="F16" s="67" t="n"/>
      <c r="G16" s="67" t="n"/>
      <c r="H16" s="78">
        <f>COUNTIF(D16:G16,"Sì*")</f>
        <v>0</v>
      </c>
      <c r="I16" s="79" t="n"/>
      <c r="J16" s="80" t="str">
        <f>IF(I16="","",I16/10000)</f>
        <v/>
      </c>
      <c r="K16" s="81" t="n"/>
      <c r="L16" s="67" t="n"/>
      <c r="M16" s="80" t="n"/>
      <c r="N16" s="79" t="n">
        <v>0</v>
      </c>
      <c r="O16" s="79" t="n">
        <v>51.65</v>
      </c>
      <c r="P16" s="79" t="n">
        <v>51.65</v>
      </c>
      <c r="Q16" s="79" t="n">
        <v>2</v>
      </c>
      <c r="R16" s="68" t="inlineStr">
        <is>
          <t>Nota informativa, scheda I costi (marzo 2026)</t>
        </is>
      </c>
      <c r="S16" s="67" t="n"/>
      <c r="T16" s="67" t="n"/>
      <c r="U16" s="83" t="n">
        <v>46304</v>
      </c>
      <c r="V16" s="67" t="inlineStr">
        <is>
          <t>Documento sulle rendite e supplemento non trovati sul sito pubblico. RITA: 2 € su ogni rata.</t>
        </is>
      </c>
    </row>
    <row r="17">
      <c r="A17" s="67" t="str">
        <f>Sheet1!$A$18</f>
        <v>ZED OMNIFUND - FONDO PENSIONE APERTO</v>
      </c>
      <c r="B17" s="67" t="n"/>
      <c r="C17" s="67" t="n"/>
      <c r="D17" s="67" t="n"/>
      <c r="E17" s="67" t="n"/>
      <c r="F17" s="67" t="n"/>
      <c r="G17" s="67" t="n"/>
      <c r="H17" s="78">
        <f>COUNTIF(D17:G17,"Sì*")</f>
        <v>0</v>
      </c>
      <c r="I17" s="79" t="n"/>
      <c r="J17" s="80" t="str">
        <f>IF(I17="","",I17/10000)</f>
        <v/>
      </c>
      <c r="K17" s="81" t="n"/>
      <c r="L17" s="67" t="n"/>
      <c r="M17" s="80" t="n"/>
      <c r="N17" s="79" t="n">
        <v>0</v>
      </c>
      <c r="O17" s="79" t="n">
        <v>0</v>
      </c>
      <c r="P17" s="79" t="n">
        <v>15</v>
      </c>
      <c r="Q17" s="79" t="n">
        <v>2</v>
      </c>
      <c r="R17" s="68" t="inlineStr">
        <is>
          <t>Nota informativa, scheda I costi (marzo 2026)</t>
        </is>
      </c>
      <c r="S17" s="67" t="n"/>
      <c r="T17" s="67" t="n"/>
      <c r="U17" s="83" t="n">
        <v>46304</v>
      </c>
      <c r="V17" s="67" t="inlineStr">
        <is>
          <t>Documento sulle rendite e supplemento non trovati sul sito pubblico. RITA: 2 € su ogni rata.</t>
        </is>
      </c>
    </row>
    <row r="18">
      <c r="A18" s="67" t="str">
        <f>Sheet1!$A$19</f>
        <v>PLURIFONDS IL FONDO PENSIONE APERTO DI ITAS VITA</v>
      </c>
      <c r="B18" s="68" t="inlineStr">
        <is>
          <t>Documento sulle rendite (febbraio 2021)</t>
        </is>
      </c>
      <c r="C18" s="67" t="inlineStr">
        <is>
          <t>ITAS Vita S.p.A.</t>
        </is>
      </c>
      <c r="D18" s="67" t="inlineStr">
        <is>
          <t>Sì</t>
        </is>
      </c>
      <c r="E18" s="67" t="inlineStr">
        <is>
          <t>Sì (5 o 10 anni)</t>
        </is>
      </c>
      <c r="F18" s="67" t="inlineStr">
        <is>
          <t>No</t>
        </is>
      </c>
      <c r="G18" s="67" t="inlineStr">
        <is>
          <t>No</t>
        </is>
      </c>
      <c r="H18" s="78">
        <f>COUNTIF(D18:G18,"Sì*")</f>
        <v>2</v>
      </c>
      <c r="I18" s="79" t="n">
        <v>424.8</v>
      </c>
      <c r="J18" s="80">
        <f>IF(I18="","",I18/10000)</f>
        <v>0.042480000000000004</v>
      </c>
      <c r="K18" s="81" t="n">
        <v>0</v>
      </c>
      <c r="L18" s="67" t="inlineStr">
        <is>
          <t>Tavola A62D unisex, nati 1958–1966 senza correzione, tasso tecnico 0%</t>
        </is>
      </c>
      <c r="M18" s="80" t="n">
        <v>0.0125</v>
      </c>
      <c r="N18" s="79" t="n"/>
      <c r="O18" s="79" t="n"/>
      <c r="P18" s="79" t="n"/>
      <c r="Q18" s="79" t="n"/>
      <c r="R18" s="67" t="n"/>
      <c r="S18" s="67" t="n"/>
      <c r="T18" s="67" t="n"/>
      <c r="U18" s="83" t="n">
        <v>46303</v>
      </c>
      <c r="V18" s="67" t="inlineStr">
        <is>
          <t>Documento sulle rendite del 2021, precedente alle nuove prestazioni. Oltre all'1,25% di erogazione, caricamento di gestione dell'1% sul premio.</t>
        </is>
      </c>
    </row>
    <row r="19">
      <c r="A19" s="67" t="str">
        <f>Sheet1!$A$20</f>
        <v>EURORISPARMIO PREVIDENZA COMPLEMENTARE FONDO PENSIONE APERTO</v>
      </c>
      <c r="B19" s="67" t="n"/>
      <c r="C19" s="67" t="n"/>
      <c r="D19" s="67" t="n"/>
      <c r="E19" s="67" t="n"/>
      <c r="F19" s="67" t="n"/>
      <c r="G19" s="67" t="n"/>
      <c r="H19" s="78">
        <f>COUNTIF(D19:G19,"Sì*")</f>
        <v>0</v>
      </c>
      <c r="I19" s="79" t="n"/>
      <c r="J19" s="80" t="str">
        <f>IF(I19="","",I19/10000)</f>
        <v/>
      </c>
      <c r="K19" s="81" t="n"/>
      <c r="L19" s="67" t="n"/>
      <c r="M19" s="80" t="n"/>
      <c r="N19" s="79" t="n"/>
      <c r="O19" s="79" t="n"/>
      <c r="P19" s="79" t="n"/>
      <c r="Q19" s="79" t="n"/>
      <c r="R19" s="67" t="n"/>
      <c r="S19" s="67" t="n"/>
      <c r="T19" s="67" t="n"/>
      <c r="U19" s="83" t="n"/>
      <c r="V19" s="67" t="n"/>
    </row>
    <row r="20">
      <c r="A20" s="67" t="str">
        <f>Sheet1!$A$21</f>
        <v>FONDO PENSIONE APERTO AUREO</v>
      </c>
      <c r="B20" s="67" t="n"/>
      <c r="C20" s="67" t="n"/>
      <c r="D20" s="67" t="n"/>
      <c r="E20" s="67" t="n"/>
      <c r="F20" s="67" t="n"/>
      <c r="G20" s="67" t="n"/>
      <c r="H20" s="78">
        <f>COUNTIF(D20:G20,"Sì*")</f>
        <v>0</v>
      </c>
      <c r="I20" s="79" t="n"/>
      <c r="J20" s="80" t="str">
        <f>IF(I20="","",I20/10000)</f>
        <v/>
      </c>
      <c r="K20" s="81" t="n"/>
      <c r="L20" s="67" t="n"/>
      <c r="M20" s="80" t="n"/>
      <c r="N20" s="79" t="n"/>
      <c r="O20" s="79" t="n"/>
      <c r="P20" s="79" t="n"/>
      <c r="Q20" s="79" t="n"/>
      <c r="R20" s="67" t="n"/>
      <c r="S20" s="67" t="n"/>
      <c r="T20" s="67" t="n"/>
      <c r="U20" s="83" t="n"/>
      <c r="V20" s="67" t="n"/>
    </row>
    <row r="21">
      <c r="A21" s="67" t="str">
        <f>Sheet1!$A$22</f>
        <v>FONDO PENSIONE APERTO CREDIT AGRICOLE VITA</v>
      </c>
      <c r="B21" s="68" t="inlineStr">
        <is>
          <t>Documento sulle rendite (maggio 2022)</t>
        </is>
      </c>
      <c r="C21" s="67" t="inlineStr">
        <is>
          <t>Crédit Agricole Vita S.p.A.</t>
        </is>
      </c>
      <c r="D21" s="67" t="inlineStr">
        <is>
          <t>Sì</t>
        </is>
      </c>
      <c r="E21" s="67" t="inlineStr">
        <is>
          <t>Sì (5 o 10 anni)</t>
        </is>
      </c>
      <c r="F21" s="67" t="inlineStr">
        <is>
          <t>No</t>
        </is>
      </c>
      <c r="G21" s="67" t="inlineStr">
        <is>
          <t>No</t>
        </is>
      </c>
      <c r="H21" s="78">
        <f>COUNTIF(D21:G21,"Sì*")</f>
        <v>2</v>
      </c>
      <c r="I21" s="79" t="n">
        <v>429.4</v>
      </c>
      <c r="J21" s="80">
        <f>IF(I21="","",I21/10000)</f>
        <v>0.04294</v>
      </c>
      <c r="K21" s="81" t="n">
        <v>0</v>
      </c>
      <c r="L21" s="67" t="inlineStr">
        <is>
          <t>Tavola A62I unisex, nati 1958–1966 senza correzione, tasso tecnico 0%</t>
        </is>
      </c>
      <c r="M21" s="80" t="n">
        <v>0.008999999999999999</v>
      </c>
      <c r="N21" s="79" t="n"/>
      <c r="O21" s="79" t="n"/>
      <c r="P21" s="79" t="n"/>
      <c r="Q21" s="79" t="n"/>
      <c r="R21" s="67" t="n"/>
      <c r="S21" s="67" t="inlineStr">
        <is>
          <t>Rate annuali, semestrali o trimestrali; comparto predefinito Linea Garantita</t>
        </is>
      </c>
      <c r="T21" s="68" t="inlineStr">
        <is>
          <t>Supplemento alla Nota informativa (luglio 2026)</t>
        </is>
      </c>
      <c r="U21" s="83" t="n">
        <v>46303</v>
      </c>
      <c r="V21" s="67" t="inlineStr">
        <is>
          <t>Documento sulle rendite del 2022: verificare se è stato aggiornato. Costo della rendita dallo 0,90% (annuale) al 2% (mensile), dal supplemento 2026.</t>
        </is>
      </c>
    </row>
    <row r="22">
      <c r="A22" s="67" t="str">
        <f>Sheet1!$A$23</f>
        <v>ARTI &amp; MESTIERI - FONDO PENSIONE APERTO</v>
      </c>
      <c r="B22" s="68" t="inlineStr">
        <is>
          <t>Documento sulle rendite (allegato n. 2 al Regolamento)</t>
        </is>
      </c>
      <c r="C22" s="67" t="inlineStr">
        <is>
          <t>Unipol Assicurazioni S.p.A. (convenzione nata con Fondiaria-SAI)</t>
        </is>
      </c>
      <c r="D22" s="67" t="inlineStr">
        <is>
          <t>Sì</t>
        </is>
      </c>
      <c r="E22" s="67" t="inlineStr">
        <is>
          <t>Sì (5 o 10 anni)</t>
        </is>
      </c>
      <c r="F22" s="67" t="inlineStr">
        <is>
          <t>Sì</t>
        </is>
      </c>
      <c r="G22" s="67" t="inlineStr">
        <is>
          <t>Sì (rendita raddoppiata)</t>
        </is>
      </c>
      <c r="H22" s="78">
        <f>COUNTIF(D22:G22,"Sì*")</f>
        <v>4</v>
      </c>
      <c r="I22" s="79" t="n">
        <v>408.18</v>
      </c>
      <c r="J22" s="80">
        <f>IF(I22="","",I22/10000)</f>
        <v>0.040818</v>
      </c>
      <c r="K22" s="81" t="n">
        <v>0</v>
      </c>
      <c r="L22" s="67" t="inlineStr">
        <is>
          <t>Tavola A62 per impegni immediati unisex (40% uomini, 60% donne), tasso tecnico 0% (tabella A-quater)</t>
        </is>
      </c>
      <c r="M22" s="80" t="n">
        <v>0.008999999999999999</v>
      </c>
      <c r="N22" s="79" t="n">
        <v>0</v>
      </c>
      <c r="O22" s="79" t="n">
        <v>0</v>
      </c>
      <c r="P22" s="79" t="n">
        <v>25</v>
      </c>
      <c r="Q22" s="79" t="n"/>
      <c r="R22" s="68" t="inlineStr">
        <is>
          <t>Nota informativa, scheda I costi</t>
        </is>
      </c>
      <c r="S22" s="67" t="inlineStr">
        <is>
          <t>Rate annuali, trimestrali o mensili; comparto predefinito Garanzia 1+; 50 € all'attivazione e 2 € a rata</t>
        </is>
      </c>
      <c r="T22" s="68" t="inlineStr">
        <is>
          <t>Supplemento alla Nota informativa (luglio 2026)</t>
        </is>
      </c>
      <c r="U22" s="83" t="n">
        <v>46303</v>
      </c>
      <c r="V22" s="67" t="inlineStr">
        <is>
          <t>La convenzione per le rendite scade il 31/12/2026: i coefficienti potrebbero cambiare. Costo della rendita dallo 0,90% (annuale) al 2% (mensile).</t>
        </is>
      </c>
    </row>
    <row r="23">
      <c r="A23" s="67" t="str">
        <f>Sheet1!$A$24</f>
        <v>SECONDAPENSIONE FONDO PENSIONE APERTO</v>
      </c>
      <c r="B23" s="68" t="inlineStr">
        <is>
          <t>Documento sulle rendite</t>
        </is>
      </c>
      <c r="C23" s="67" t="inlineStr">
        <is>
          <t>Crédit Agricole Vita S.p.A.</t>
        </is>
      </c>
      <c r="D23" s="67" t="inlineStr">
        <is>
          <t>Sì</t>
        </is>
      </c>
      <c r="E23" s="67" t="inlineStr">
        <is>
          <t>Sì</t>
        </is>
      </c>
      <c r="F23" s="67" t="inlineStr">
        <is>
          <t>Sì</t>
        </is>
      </c>
      <c r="G23" s="67" t="inlineStr">
        <is>
          <t>Sì (rendita raddoppiata)</t>
        </is>
      </c>
      <c r="H23" s="78">
        <f>COUNTIF(D23:G23,"Sì*")</f>
        <v>4</v>
      </c>
      <c r="I23" s="79" t="n">
        <v>443.46</v>
      </c>
      <c r="J23" s="80">
        <f>IF(I23="","",I23/10000)</f>
        <v>0.044346</v>
      </c>
      <c r="K23" s="81" t="n">
        <v>0</v>
      </c>
      <c r="L23" s="67" t="inlineStr">
        <is>
          <t>Tavola A62I (60% uomini, 40% donne), nati 1958–1966 senza correzione, tasso tecnico 0%, rate annuali anticipate (22,5498 € per 1 € di rendita)</t>
        </is>
      </c>
      <c r="M23" s="80" t="n">
        <v>0.008</v>
      </c>
      <c r="N23" s="79" t="n">
        <v>0</v>
      </c>
      <c r="O23" s="79" t="n">
        <v>0</v>
      </c>
      <c r="P23" s="79" t="n">
        <v>0</v>
      </c>
      <c r="Q23" s="79" t="n"/>
      <c r="R23" s="68" t="inlineStr">
        <is>
          <t>Nota informativa, scheda I costi</t>
        </is>
      </c>
      <c r="S23" s="67" t="inlineStr">
        <is>
          <t>Rate trimestrali, semestrali o annuali; comparto predefinito SecondaPensione Prudente ESG</t>
        </is>
      </c>
      <c r="T23" s="68" t="inlineStr">
        <is>
          <t>Supplemento alla Nota informativa (luglio 2026)</t>
        </is>
      </c>
      <c r="U23" s="83" t="n">
        <v>46303</v>
      </c>
      <c r="V23" s="67" t="inlineStr">
        <is>
          <t>Costo della rendita 0,80% più 0,10% per ogni rata nell'anno. Nessuna spesa per anticipazioni, riscatti e trasferimenti.</t>
        </is>
      </c>
    </row>
    <row r="24">
      <c r="A24" s="67" t="str">
        <f>Sheet1!$A$25</f>
        <v>FONDO PENSIONE APERTO GIUSTINIANO</v>
      </c>
      <c r="B24" s="68" t="inlineStr">
        <is>
          <t>Documento sulle rendite (luglio 2026)</t>
        </is>
      </c>
      <c r="C24" s="67" t="inlineStr">
        <is>
          <t>Intesa Sanpaolo Assicurazioni S.p.A.</t>
        </is>
      </c>
      <c r="D24" s="67" t="inlineStr">
        <is>
          <t>Sì (100% o 50%)</t>
        </is>
      </c>
      <c r="E24" s="67" t="inlineStr">
        <is>
          <t>No</t>
        </is>
      </c>
      <c r="F24" s="67" t="inlineStr">
        <is>
          <t>Sì</t>
        </is>
      </c>
      <c r="G24" s="67" t="inlineStr">
        <is>
          <t>No</t>
        </is>
      </c>
      <c r="H24" s="78">
        <f>COUNTIF(D24:G24,"Sì*")</f>
        <v>2</v>
      </c>
      <c r="I24" s="79" t="n">
        <v>429.1</v>
      </c>
      <c r="J24" s="80">
        <f>IF(I24="","",I24/10000)</f>
        <v>0.042910000000000004</v>
      </c>
      <c r="K24" s="81" t="n">
        <v>0</v>
      </c>
      <c r="L24" s="67" t="inlineStr">
        <is>
          <t>Tavola A62D/A per anno di nascita (nati 1958–1966 senza correzione), tasso tecnico 0%</t>
        </is>
      </c>
      <c r="M24" s="80" t="n">
        <v>0.0125</v>
      </c>
      <c r="N24" s="79" t="n">
        <v>20</v>
      </c>
      <c r="O24" s="79" t="n">
        <v>20</v>
      </c>
      <c r="P24" s="79" t="n">
        <v>20</v>
      </c>
      <c r="Q24" s="79" t="n"/>
      <c r="R24" s="68" t="inlineStr">
        <is>
          <t>Nota informativa, scheda I costi (marzo 2026)</t>
        </is>
      </c>
      <c r="S24" s="67" t="inlineStr">
        <is>
          <t>Rate mensili, trimestrali o annuali (minimo 150 € a rata); comparto predefinito Giustiniano Monetaria; 20 € per accedere, 2 € a rata</t>
        </is>
      </c>
      <c r="T24" s="68" t="inlineStr">
        <is>
          <t>Supplemento alla Nota informativa (luglio 2026)</t>
        </is>
      </c>
      <c r="U24" s="83" t="n">
        <v>46303</v>
      </c>
      <c r="V24" s="67" t="n"/>
    </row>
    <row r="25">
      <c r="A25" s="67" t="str">
        <f>Sheet1!$A$26</f>
        <v>PROGRAMMA OPEN FONDO PENSIONE APERTO</v>
      </c>
      <c r="B25" s="68" t="inlineStr">
        <is>
          <t>Documento sulle rendite (luglio 2026)</t>
        </is>
      </c>
      <c r="C25" s="67" t="inlineStr">
        <is>
          <t>Groupama Assicurazioni S.p.A.</t>
        </is>
      </c>
      <c r="D25" s="67" t="inlineStr">
        <is>
          <t>Sì</t>
        </is>
      </c>
      <c r="E25" s="67" t="inlineStr">
        <is>
          <t>Sì (5, 10 o 15 anni)</t>
        </is>
      </c>
      <c r="F25" s="67" t="inlineStr">
        <is>
          <t>No</t>
        </is>
      </c>
      <c r="G25" s="67" t="inlineStr">
        <is>
          <t>Sì (+20%, costo 5% della posizione)</t>
        </is>
      </c>
      <c r="H25" s="78">
        <f>COUNTIF(D25:G25,"Sì*")</f>
        <v>3</v>
      </c>
      <c r="I25" s="79" t="n">
        <v>431.78</v>
      </c>
      <c r="J25" s="80">
        <f>IF(I25="","",I25/10000)</f>
        <v>0.043177999999999994</v>
      </c>
      <c r="K25" s="81" t="n">
        <v>0</v>
      </c>
      <c r="L25" s="67" t="inlineStr">
        <is>
          <t>Tavola ANIA 2005 unificata per sesso (iscritti dal 21/12/2012), nati 1949–1960, tasso tecnico 0%</t>
        </is>
      </c>
      <c r="M25" s="80" t="n">
        <v>0.02</v>
      </c>
      <c r="N25" s="79" t="n">
        <v>0</v>
      </c>
      <c r="O25" s="79" t="n">
        <v>0</v>
      </c>
      <c r="P25" s="79" t="n"/>
      <c r="Q25" s="79" t="n"/>
      <c r="R25" s="68" t="inlineStr">
        <is>
          <t>Nota informativa, scheda I costi (marzo 2026)</t>
        </is>
      </c>
      <c r="S25" s="67" t="inlineStr">
        <is>
          <t>Rate trimestrali, semestrali o annuali; comparto predefinito Nuovo Obbligazionario Etico; 15 € a rata</t>
        </is>
      </c>
      <c r="T25" s="68" t="inlineStr">
        <is>
          <t>Supplemento alla Nota informativa (luglio 2026)</t>
        </is>
      </c>
      <c r="U25" s="83" t="n">
        <v>46303</v>
      </c>
      <c r="V25" s="67" t="inlineStr">
        <is>
          <t>Anticipazioni e riscatti senza spese; il testo estratto della Scheda costi non riporta gli importi per trasferimento e RITA.</t>
        </is>
      </c>
    </row>
    <row r="26">
      <c r="A26" s="67" t="str">
        <f>Sheet1!$A$27</f>
        <v>FONDO PENSIONE APERTO IL MIO DOMANI</v>
      </c>
      <c r="B26" s="68" t="inlineStr">
        <is>
          <t>Documento sulle rendite (luglio 2026)</t>
        </is>
      </c>
      <c r="C26" s="67" t="inlineStr">
        <is>
          <t>Intesa Sanpaolo Assicurazioni S.p.A.</t>
        </is>
      </c>
      <c r="D26" s="67" t="inlineStr">
        <is>
          <t>Sì (100% o 50%)</t>
        </is>
      </c>
      <c r="E26" s="67" t="inlineStr">
        <is>
          <t>No</t>
        </is>
      </c>
      <c r="F26" s="67" t="inlineStr">
        <is>
          <t>Sì (80% del capitale)</t>
        </is>
      </c>
      <c r="G26" s="67" t="inlineStr">
        <is>
          <t>No</t>
        </is>
      </c>
      <c r="H26" s="78">
        <f>COUNTIF(D26:G26,"Sì*")</f>
        <v>2</v>
      </c>
      <c r="I26" s="79" t="n">
        <v>429.1</v>
      </c>
      <c r="J26" s="80">
        <f>IF(I26="","",I26/10000)</f>
        <v>0.042910000000000004</v>
      </c>
      <c r="K26" s="81" t="n">
        <v>0</v>
      </c>
      <c r="L26" s="67" t="inlineStr">
        <is>
          <t>Tavola A62D/A per anno di nascita (nati 1958–1966 senza correzione), tasso tecnico 0% (tabella A: 42,91 € per 1.000 €)</t>
        </is>
      </c>
      <c r="M26" s="80" t="n">
        <v>0.0125</v>
      </c>
      <c r="N26" s="79" t="n"/>
      <c r="O26" s="79" t="n">
        <v>50</v>
      </c>
      <c r="P26" s="79" t="n">
        <v>50</v>
      </c>
      <c r="Q26" s="79" t="n"/>
      <c r="R26" s="68" t="inlineStr">
        <is>
          <t>Nota informativa, scheda I costi (marzo 2026)</t>
        </is>
      </c>
      <c r="S26" s="67" t="inlineStr">
        <is>
          <t>Rate mensili, trimestrali o annuali (minimo 150 € a rata); comparto predefinito Linea Breve Termine; durata anche più lunga della vita attesa; 20 € per accedere, 2 € a rata</t>
        </is>
      </c>
      <c r="T26" s="68" t="inlineStr">
        <is>
          <t>Supplemento alla Nota informativa (luglio 2026)</t>
        </is>
      </c>
      <c r="U26" s="83" t="n">
        <v>46304</v>
      </c>
      <c r="V26" s="67" t="inlineStr">
        <is>
          <t>Stessi coefficienti di Previdsystem e Giustiniano (stessa compagnia). Il testo estratto della Scheda costi non riporta il costo dell'anticipazione.</t>
        </is>
      </c>
    </row>
    <row r="27">
      <c r="A27" s="67" t="str">
        <f>Sheet1!$A$28</f>
        <v>AZIMUT PREVIDENZA - FONDO PENSIONE APERTO</v>
      </c>
      <c r="B27" s="67" t="n"/>
      <c r="C27" s="67" t="n"/>
      <c r="D27" s="67" t="n"/>
      <c r="E27" s="67" t="n"/>
      <c r="F27" s="67" t="n"/>
      <c r="G27" s="67" t="n"/>
      <c r="H27" s="78">
        <f>COUNTIF(D27:G27,"Sì*")</f>
        <v>0</v>
      </c>
      <c r="I27" s="79" t="n"/>
      <c r="J27" s="80" t="str">
        <f>IF(I27="","",I27/10000)</f>
        <v/>
      </c>
      <c r="K27" s="81" t="n"/>
      <c r="L27" s="67" t="n"/>
      <c r="M27" s="80" t="n"/>
      <c r="N27" s="79" t="n"/>
      <c r="O27" s="79" t="n"/>
      <c r="P27" s="79" t="n"/>
      <c r="Q27" s="79" t="n"/>
      <c r="R27" s="67" t="n"/>
      <c r="S27" s="67" t="n"/>
      <c r="T27" s="67" t="n"/>
      <c r="U27" s="83" t="n"/>
      <c r="V27" s="67" t="n"/>
    </row>
    <row r="28">
      <c r="A28" s="67" t="str">
        <f>Sheet1!$A$29</f>
        <v>AZIONE DI PREVIDENZA - FONDO PENSIONE APERTO</v>
      </c>
      <c r="B28" s="68" t="inlineStr">
        <is>
          <t>Documento sulle rendite (luglio 2026)</t>
        </is>
      </c>
      <c r="C28" s="67" t="inlineStr">
        <is>
          <t>HDI Assicurazioni S.p.A.</t>
        </is>
      </c>
      <c r="D28" s="67" t="inlineStr">
        <is>
          <t>Sì</t>
        </is>
      </c>
      <c r="E28" s="67" t="inlineStr">
        <is>
          <t>Sì (5 o 10 anni)</t>
        </is>
      </c>
      <c r="F28" s="67" t="inlineStr">
        <is>
          <t>Sì</t>
        </is>
      </c>
      <c r="G28" s="67" t="inlineStr">
        <is>
          <t>No</t>
        </is>
      </c>
      <c r="H28" s="78">
        <f>COUNTIF(D28:G28,"Sì*")</f>
        <v>3</v>
      </c>
      <c r="I28" s="79" t="n">
        <v>441.45</v>
      </c>
      <c r="J28" s="80">
        <f>IF(I28="","",I28/10000)</f>
        <v>0.044145</v>
      </c>
      <c r="K28" s="81" t="n">
        <v>0</v>
      </c>
      <c r="L28" s="67" t="inlineStr">
        <is>
          <t>Tavola A62D (70% uomini, 30% donne), nati 1958–1966 senza correzione, tasso tecnico 0% (Regolamento, tabella A: 22,6524 € per 1 € di rendita)</t>
        </is>
      </c>
      <c r="M28" s="80" t="n">
        <v>0.0125</v>
      </c>
      <c r="N28" s="79" t="n">
        <v>0</v>
      </c>
      <c r="O28" s="79" t="n">
        <v>0</v>
      </c>
      <c r="P28" s="79" t="n">
        <v>15</v>
      </c>
      <c r="Q28" s="79" t="n"/>
      <c r="R28" s="68" t="inlineStr">
        <is>
          <t>Nota informativa, scheda I costi (luglio 2026)</t>
        </is>
      </c>
      <c r="S28" s="67" t="inlineStr">
        <is>
          <t>Rate annuali, semestrali, trimestrali o mensili; prelievo minimo 2.000 € (o la rendita figurativa se inferiore); 25 € a rata per la rendita a durata definita</t>
        </is>
      </c>
      <c r="T28" s="68" t="inlineStr">
        <is>
          <t>Supplemento alla Nota informativa (luglio 2026)</t>
        </is>
      </c>
      <c r="U28" s="83" t="n">
        <v>46303</v>
      </c>
      <c r="V28" s="67" t="inlineStr">
        <is>
          <t>Coefficienti nel Regolamento (luglio 2026), espressi come capitale necessario per 1 € di rendita annua.</t>
        </is>
      </c>
    </row>
    <row r="29">
      <c r="A29" s="67" t="str">
        <f>Sheet1!$A$30</f>
        <v>FONDO PENSIONE APERTO CNP</v>
      </c>
      <c r="B29" s="68" t="inlineStr">
        <is>
          <t>Documento sulle rendite (luglio 2026)</t>
        </is>
      </c>
      <c r="C29" s="67" t="inlineStr">
        <is>
          <t>CNP Vita Assicura S.p.A.</t>
        </is>
      </c>
      <c r="D29" s="67" t="inlineStr">
        <is>
          <t>Sì</t>
        </is>
      </c>
      <c r="E29" s="67" t="inlineStr">
        <is>
          <t>Sì (5 o 10 anni)</t>
        </is>
      </c>
      <c r="F29" s="67" t="inlineStr">
        <is>
          <t>No</t>
        </is>
      </c>
      <c r="G29" s="67" t="inlineStr">
        <is>
          <t>No</t>
        </is>
      </c>
      <c r="H29" s="78">
        <f>COUNTIF(D29:G29,"Sì*")</f>
        <v>2</v>
      </c>
      <c r="I29" s="79" t="n"/>
      <c r="J29" s="80" t="str">
        <f>IF(I29="","",I29/10000)</f>
        <v/>
      </c>
      <c r="K29" s="81" t="n">
        <v>0</v>
      </c>
      <c r="L29" s="67" t="inlineStr">
        <is>
          <t>Tavola A62D ponderata 40% uomini e 60% donne (adesioni individuali), tasso tecnico 0%</t>
        </is>
      </c>
      <c r="M29" s="80" t="n">
        <v>0.0125</v>
      </c>
      <c r="N29" s="79" t="n">
        <v>0</v>
      </c>
      <c r="O29" s="79" t="n">
        <v>0</v>
      </c>
      <c r="P29" s="79" t="n">
        <v>0</v>
      </c>
      <c r="Q29" s="79" t="n"/>
      <c r="R29" s="68" t="inlineStr">
        <is>
          <t>Nota informativa, I costi (marzo 2026)</t>
        </is>
      </c>
      <c r="S29" s="67" t="inlineStr">
        <is>
          <t>Rate annuali o semestrali (minimo 500 € a semestre); comparto predefinito con garanzia di restituzione del capitale; 6 € a rata</t>
        </is>
      </c>
      <c r="T29" s="68" t="inlineStr">
        <is>
          <t>Supplemento alla Nota informativa (luglio 2026)</t>
        </is>
      </c>
      <c r="U29" s="83" t="n">
        <v>46303</v>
      </c>
      <c r="V29" s="67" t="inlineStr">
        <is>
          <t>Coefficienti numerici non pubblicati nei documenti consultati (basi tecniche dal documento sulle proiezioni pensionistiche).</t>
        </is>
      </c>
    </row>
    <row r="30">
      <c r="A30" s="67" t="str">
        <f>Sheet1!$A$31</f>
        <v>INSIEME - FONDO PENSIONE APERTO A CONTRIBUZIONE DEFINITA</v>
      </c>
      <c r="B30" s="68" t="inlineStr">
        <is>
          <t>Documento sulle rendite (luglio 2026)</t>
        </is>
      </c>
      <c r="C30" s="67" t="inlineStr">
        <is>
          <t>Allianz S.p.A.</t>
        </is>
      </c>
      <c r="D30" s="67" t="inlineStr">
        <is>
          <t>Sì (100% o 60%)</t>
        </is>
      </c>
      <c r="E30" s="67" t="inlineStr">
        <is>
          <t>Sì (5 o 10 anni)</t>
        </is>
      </c>
      <c r="F30" s="67" t="inlineStr">
        <is>
          <t>Sì (cashback)</t>
        </is>
      </c>
      <c r="G30" s="67" t="inlineStr">
        <is>
          <t>Sì (rendita raddoppiata, con questionario medico)</t>
        </is>
      </c>
      <c r="H30" s="78">
        <f>COUNTIF(D30:G30,"Sì*")</f>
        <v>4</v>
      </c>
      <c r="I30" s="79" t="n">
        <v>462.5</v>
      </c>
      <c r="J30" s="80">
        <f>IF(I30="","",I30/10000)</f>
        <v>0.04625</v>
      </c>
      <c r="K30" s="81" t="n">
        <v>0.005</v>
      </c>
      <c r="L30" s="67" t="inlineStr">
        <is>
          <t>Tavola AZPS62, nati 1955–1962 senza correzione d'età, tasso tecnico 0,5% (stessi coefficienti di Allianz Previdenza)</t>
        </is>
      </c>
      <c r="M30" s="80" t="n">
        <v>0.018</v>
      </c>
      <c r="N30" s="79" t="n">
        <v>0</v>
      </c>
      <c r="O30" s="79" t="n">
        <v>0</v>
      </c>
      <c r="P30" s="79" t="n">
        <v>0</v>
      </c>
      <c r="Q30" s="79" t="n">
        <v>0</v>
      </c>
      <c r="R30" s="68" t="inlineStr">
        <is>
          <t>Nota informativa, scheda I costi (settembre 2026)</t>
        </is>
      </c>
      <c r="S30" s="67" t="inlineStr">
        <is>
          <t>Rendita a durata definita a rate trimestrali (19 anni a 67 anni); prelievi ogni 3 mesi almeno, minimo 500 €; comparto predefinito Linea Flessibile con garanzia; nessuna spesa di erogazione</t>
        </is>
      </c>
      <c r="T30" s="68" t="inlineStr">
        <is>
          <t>Supplemento alla Nota informativa (settembre 2026)</t>
        </is>
      </c>
      <c r="U30" s="83" t="n">
        <v>46303</v>
      </c>
      <c r="V30" s="67" t="inlineStr">
        <is>
          <t>Costo della rendita dall'1,80% (rata annuale) al 3,30% (mensile); rivalutazione annua con 1,20 punti trattenuti dalla gestione separata VITARIV Group.</t>
        </is>
      </c>
    </row>
    <row r="31">
      <c r="A31" s="67" t="str">
        <f>Sheet1!$A$32</f>
        <v>FONDO PENSIONE APERTO BIM VITA</v>
      </c>
      <c r="B31" s="67" t="n"/>
      <c r="C31" s="67" t="n"/>
      <c r="D31" s="67" t="n"/>
      <c r="E31" s="67" t="n"/>
      <c r="F31" s="67" t="n"/>
      <c r="G31" s="67" t="n"/>
      <c r="H31" s="78">
        <f>COUNTIF(D31:G31,"Sì*")</f>
        <v>0</v>
      </c>
      <c r="I31" s="79" t="n"/>
      <c r="J31" s="80" t="str">
        <f>IF(I31="","",I31/10000)</f>
        <v/>
      </c>
      <c r="K31" s="81" t="n"/>
      <c r="L31" s="67" t="n"/>
      <c r="M31" s="80" t="n"/>
      <c r="N31" s="79" t="n">
        <v>0</v>
      </c>
      <c r="O31" s="79" t="n">
        <v>0</v>
      </c>
      <c r="P31" s="79" t="n">
        <v>50</v>
      </c>
      <c r="Q31" s="79" t="n">
        <v>3</v>
      </c>
      <c r="R31" s="68" t="inlineStr">
        <is>
          <t>Nota informativa, scheda I costi (luglio 2026)</t>
        </is>
      </c>
      <c r="S31" s="67" t="inlineStr">
        <is>
          <t>Prelievi ogni 3 mesi almeno, minimo 1.000 € lordi; rate di frazionamento da mensili ad annuali (solo annuali se la rata è sotto i 100 €)</t>
        </is>
      </c>
      <c r="T31" s="68" t="inlineStr">
        <is>
          <t>Supplemento alla Nota informativa (luglio 2026)</t>
        </is>
      </c>
      <c r="U31" s="83" t="n">
        <v>46304</v>
      </c>
      <c r="V31" s="67" t="inlineStr">
        <is>
          <t>Oggi si chiama Unipol Fondo Pensione Aperto BV. Documento sulle rendite non trovato sul sito pubblico. RITA: 3 € su ogni rata.</t>
        </is>
      </c>
    </row>
    <row r="32">
      <c r="A32" s="67" t="str">
        <f>Sheet1!$A$33</f>
        <v>FONDO PENSIONE APERTO PENSPLAN PROFI</v>
      </c>
      <c r="B32" s="68" t="inlineStr">
        <is>
          <t>Documento sulle rendite</t>
        </is>
      </c>
      <c r="C32" s="67" t="inlineStr">
        <is>
          <t>ITAS Vita S.p.A.</t>
        </is>
      </c>
      <c r="D32" s="67" t="inlineStr">
        <is>
          <t>Sì</t>
        </is>
      </c>
      <c r="E32" s="67" t="inlineStr">
        <is>
          <t>Sì (5 o 10 anni)</t>
        </is>
      </c>
      <c r="F32" s="67" t="inlineStr">
        <is>
          <t>No</t>
        </is>
      </c>
      <c r="G32" s="67" t="inlineStr">
        <is>
          <t>No</t>
        </is>
      </c>
      <c r="H32" s="78">
        <f>COUNTIF(D32:G32,"Sì*")</f>
        <v>2</v>
      </c>
      <c r="I32" s="79" t="n"/>
      <c r="J32" s="80" t="str">
        <f>IF(I32="","",I32/10000)</f>
        <v/>
      </c>
      <c r="K32" s="81" t="n">
        <v>0</v>
      </c>
      <c r="L32" s="67" t="inlineStr">
        <is>
          <t>Tavola A62D, tasso tecnico 0%</t>
        </is>
      </c>
      <c r="M32" s="80" t="n">
        <v>0.0125</v>
      </c>
      <c r="N32" s="79" t="n">
        <v>0</v>
      </c>
      <c r="O32" s="79" t="n">
        <v>0</v>
      </c>
      <c r="P32" s="79" t="n">
        <v>10</v>
      </c>
      <c r="Q32" s="79" t="n">
        <v>50</v>
      </c>
      <c r="R32" s="68" t="inlineStr">
        <is>
          <t>Nota informativa, scheda I costi</t>
        </is>
      </c>
      <c r="S32" s="67" t="inlineStr">
        <is>
          <t>Rate non più frequenti di trimestrali; comparto predefinito Ethical Life Short Term; nessun costo per accedere; durata anche più lunga della vita attesa</t>
        </is>
      </c>
      <c r="T32" s="68" t="inlineStr">
        <is>
          <t>Supplemento alla Nota informativa</t>
        </is>
      </c>
      <c r="U32" s="83" t="n">
        <v>46304</v>
      </c>
      <c r="V32" s="67" t="inlineStr">
        <is>
          <t>I coefficienti non sono pubblicati nel documento sulle rendite (sono nella convenzione con ITAS Vita). Oltre all'1,25% di erogazione, caricamento dell'1% sul premio. RITA: 50 € per aprire la pratica.</t>
        </is>
      </c>
    </row>
    <row r="33">
      <c r="A33" s="67" t="str">
        <f>Sheet1!$A$34</f>
        <v>RAIFFEISEN FONDO PENSIONE APERTO</v>
      </c>
      <c r="B33" s="68" t="inlineStr">
        <is>
          <t>Documento sulle rendite</t>
        </is>
      </c>
      <c r="C33" s="67" t="inlineStr">
        <is>
          <t>Assimoco Vita S.p.A. (convenzione fino all'8/9/2030)</t>
        </is>
      </c>
      <c r="D33" s="67" t="inlineStr">
        <is>
          <t>Sì</t>
        </is>
      </c>
      <c r="E33" s="67" t="inlineStr">
        <is>
          <t>Sì (5, 10 o 20 anni)</t>
        </is>
      </c>
      <c r="F33" s="67" t="inlineStr">
        <is>
          <t>No</t>
        </is>
      </c>
      <c r="G33" s="67" t="inlineStr">
        <is>
          <t>No</t>
        </is>
      </c>
      <c r="H33" s="78">
        <f>COUNTIF(D33:G33,"Sì*")</f>
        <v>2</v>
      </c>
      <c r="I33" s="79" t="n"/>
      <c r="J33" s="80" t="str">
        <f>IF(I33="","",I33/10000)</f>
        <v/>
      </c>
      <c r="K33" s="81" t="n">
        <v>0</v>
      </c>
      <c r="L33" s="67" t="inlineStr">
        <is>
          <t>Tavola IPS55U-I unisex, nati 1949–1960 senza correzione, tasso tecnico 0%</t>
        </is>
      </c>
      <c r="M33" s="80" t="n">
        <v>0.0125</v>
      </c>
      <c r="N33" s="79" t="n">
        <v>0</v>
      </c>
      <c r="O33" s="79" t="n">
        <v>0</v>
      </c>
      <c r="P33" s="79" t="n">
        <v>50</v>
      </c>
      <c r="Q33" s="79" t="n">
        <v>0</v>
      </c>
      <c r="R33" s="68" t="inlineStr">
        <is>
          <t>Nota informativa, scheda I costi</t>
        </is>
      </c>
      <c r="S33" s="67" t="inlineStr">
        <is>
          <t>Rate annuali, semestrali o trimestrali (minimo 2.000 € a rata, altrimenti meno frequenti); comparto predefinito Guaranty</t>
        </is>
      </c>
      <c r="T33" s="68" t="inlineStr">
        <is>
          <t>Supplemento alla Nota informativa (luglio 2026)</t>
        </is>
      </c>
      <c r="U33" s="83" t="n">
        <v>46304</v>
      </c>
      <c r="V33" s="67" t="inlineStr">
        <is>
          <t>Il documento pubblica solo un esempio: a 67 anni, con rate mensili, 42,21 € l'anno ogni 1.000 € (422,10 € ogni 10.000 €); il coefficiente per rate annuali non è pubblicato. Oltre all'1,25% di erogazione, caricamento dell'1% sul premio.</t>
        </is>
      </c>
    </row>
    <row r="34">
      <c r="A34" s="67" t="str">
        <f>Sheet1!$A$35</f>
        <v>FONDO PENSIONE APERTO IL MELOGRANO</v>
      </c>
      <c r="B34" s="67" t="n"/>
      <c r="C34" s="67" t="n"/>
      <c r="D34" s="67" t="n"/>
      <c r="E34" s="67" t="n"/>
      <c r="F34" s="67" t="n"/>
      <c r="G34" s="67" t="n"/>
      <c r="H34" s="78">
        <f>COUNTIF(D34:G34,"Sì*")</f>
        <v>0</v>
      </c>
      <c r="I34" s="79" t="n"/>
      <c r="J34" s="80" t="str">
        <f>IF(I34="","",I34/10000)</f>
        <v/>
      </c>
      <c r="K34" s="81" t="n"/>
      <c r="L34" s="67" t="n"/>
      <c r="M34" s="80" t="n"/>
      <c r="N34" s="79" t="n"/>
      <c r="O34" s="79" t="n"/>
      <c r="P34" s="79" t="n"/>
      <c r="Q34" s="79" t="n"/>
      <c r="R34" s="67" t="n"/>
      <c r="S34" s="67" t="n"/>
      <c r="T34" s="67" t="n"/>
      <c r="U34" s="83" t="n"/>
      <c r="V34" s="67" t="n"/>
    </row>
    <row r="35">
      <c r="A35" s="67" t="str">
        <f>Sheet1!$A$36</f>
        <v>FONDO PENSIONE APERTO UBI PREVIDENZA</v>
      </c>
      <c r="B35" s="68" t="inlineStr">
        <is>
          <t>Documento sulle rendite (luglio 2026)</t>
        </is>
      </c>
      <c r="C35" s="67" t="inlineStr">
        <is>
          <t>Intesa Sanpaolo Assicurazioni S.p.A.</t>
        </is>
      </c>
      <c r="D35" s="67" t="inlineStr">
        <is>
          <t>Sì</t>
        </is>
      </c>
      <c r="E35" s="67" t="inlineStr">
        <is>
          <t>Sì (5 o 10 anni)</t>
        </is>
      </c>
      <c r="F35" s="67" t="inlineStr">
        <is>
          <t>No</t>
        </is>
      </c>
      <c r="G35" s="67" t="inlineStr">
        <is>
          <t>No</t>
        </is>
      </c>
      <c r="H35" s="78">
        <f>COUNTIF(D35:G35,"Sì*")</f>
        <v>2</v>
      </c>
      <c r="I35" s="79" t="n">
        <v>453.5</v>
      </c>
      <c r="J35" s="80">
        <f>IF(I35="","",I35/10000)</f>
        <v>0.04535</v>
      </c>
      <c r="K35" s="81" t="n">
        <v>0.005</v>
      </c>
      <c r="L35" s="67" t="inlineStr">
        <is>
          <t>Tavola A62D (40% uomini, 60% donne), adesioni dal 1/6/2017, nati 1958–1966 senza correzione, tasso tecnico 0,5% (Regolamento, allegato A1)</t>
        </is>
      </c>
      <c r="M35" s="80" t="n">
        <v>0.01</v>
      </c>
      <c r="N35" s="79" t="n">
        <v>0</v>
      </c>
      <c r="O35" s="79" t="n">
        <v>0</v>
      </c>
      <c r="P35" s="79" t="n">
        <v>25</v>
      </c>
      <c r="Q35" s="79" t="n"/>
      <c r="R35" s="68" t="inlineStr">
        <is>
          <t>Nota informativa, scheda I costi (marzo 2026)</t>
        </is>
      </c>
      <c r="S35" s="67" t="inlineStr">
        <is>
          <t>Rate mensili, trimestrali o annuali (minimo 150 € a rata); comparto predefinito Capitale Sicuro</t>
        </is>
      </c>
      <c r="T35" s="68" t="inlineStr">
        <is>
          <t>Supplemento alla Nota informativa (luglio 2026)</t>
        </is>
      </c>
      <c r="U35" s="83" t="n">
        <v>46303</v>
      </c>
      <c r="V35" s="67" t="inlineStr">
        <is>
          <t>Tasso tecnico 0,5%: rata iniziale più alta, rivalutazioni successive più basse. Costo della rendita dall'1% (annuale) all'1,75% (bimestrale), più 2,58 € a rata.</t>
        </is>
      </c>
    </row>
    <row r="36">
      <c r="A36" s="67" t="str">
        <f>Sheet1!$A$37</f>
        <v>FONDO PENSIONE APERTO SOLUZIONE PREVIDENTE</v>
      </c>
      <c r="B36" s="68" t="inlineStr">
        <is>
          <t>Documento sulle rendite (luglio 2026)</t>
        </is>
      </c>
      <c r="C36" s="67" t="inlineStr">
        <is>
          <t>Helvetia Vita S.p.A.</t>
        </is>
      </c>
      <c r="D36" s="67" t="inlineStr">
        <is>
          <t>Sì (100% o 60%)</t>
        </is>
      </c>
      <c r="E36" s="67" t="inlineStr">
        <is>
          <t>Sì (5 o 10 anni, anche reversibile)</t>
        </is>
      </c>
      <c r="F36" s="67" t="inlineStr">
        <is>
          <t>No</t>
        </is>
      </c>
      <c r="G36" s="67" t="inlineStr">
        <is>
          <t>No</t>
        </is>
      </c>
      <c r="H36" s="78">
        <f>COUNTIF(D36:G36,"Sì*")</f>
        <v>2</v>
      </c>
      <c r="I36" s="79" t="n">
        <v>427.9</v>
      </c>
      <c r="J36" s="80">
        <f>IF(I36="","",I36/10000)</f>
        <v>0.042789999999999995</v>
      </c>
      <c r="K36" s="81" t="n">
        <v>0</v>
      </c>
      <c r="L36" s="67" t="inlineStr">
        <is>
          <t>Tavola A62UI, nati 1958–1966 senza correzione, tasso tecnico 0% (tabella 1)</t>
        </is>
      </c>
      <c r="M36" s="80" t="n">
        <v>0.0125</v>
      </c>
      <c r="N36" s="79" t="n">
        <v>0</v>
      </c>
      <c r="O36" s="79" t="n">
        <v>0</v>
      </c>
      <c r="P36" s="79" t="n">
        <v>25</v>
      </c>
      <c r="Q36" s="79" t="n">
        <v>5</v>
      </c>
      <c r="R36" s="68" t="inlineStr">
        <is>
          <t>Nota informativa, scheda I costi (2026)</t>
        </is>
      </c>
      <c r="S36" s="67" t="inlineStr">
        <is>
          <t>Rate trimestrali, quadrimestrali, semestrali o annuali; prelievo minimo 1.200 €; comparto predefinito Linea 1 Garantita; nessun costo per accedere</t>
        </is>
      </c>
      <c r="T36" s="68" t="inlineStr">
        <is>
          <t>Supplemento alla Nota informativa (luglio 2026)</t>
        </is>
      </c>
      <c r="U36" s="83" t="n">
        <v>46303</v>
      </c>
      <c r="V36" s="67" t="inlineStr">
        <is>
          <t>RITA: 5 € per ogni rata.</t>
        </is>
      </c>
    </row>
    <row r="37">
      <c r="A37" s="67" t="str">
        <f>Sheet1!$A$38</f>
        <v>BAP PENSIONE 2007 FONDO PENSIONE APERTO</v>
      </c>
      <c r="B37" s="68" t="inlineStr">
        <is>
          <t>Documento sulle rendite (luglio 2026)</t>
        </is>
      </c>
      <c r="C37" s="67" t="inlineStr">
        <is>
          <t>Intesa Sanpaolo Assicurazioni S.p.A.</t>
        </is>
      </c>
      <c r="D37" s="67" t="inlineStr">
        <is>
          <t>Sì</t>
        </is>
      </c>
      <c r="E37" s="67" t="inlineStr">
        <is>
          <t>Sì (5 o 10 anni)</t>
        </is>
      </c>
      <c r="F37" s="67" t="inlineStr">
        <is>
          <t>No</t>
        </is>
      </c>
      <c r="G37" s="67" t="inlineStr">
        <is>
          <t>No</t>
        </is>
      </c>
      <c r="H37" s="78">
        <f>COUNTIF(D37:G37,"Sì*")</f>
        <v>2</v>
      </c>
      <c r="I37" s="79" t="n">
        <v>461.32</v>
      </c>
      <c r="J37" s="80">
        <f>IF(I37="","",I37/10000)</f>
        <v>0.046132</v>
      </c>
      <c r="K37" s="81" t="n">
        <v>0</v>
      </c>
      <c r="L37" s="67" t="inlineStr">
        <is>
          <t>Tavola IPS55U-I unisex, nati 1947–1960 senza correzione, tasso tecnico 0% (Regolamento, tabelle)</t>
        </is>
      </c>
      <c r="M37" s="80" t="n"/>
      <c r="N37" s="79" t="n">
        <v>25</v>
      </c>
      <c r="O37" s="79" t="n">
        <v>25</v>
      </c>
      <c r="P37" s="79" t="n">
        <v>25</v>
      </c>
      <c r="Q37" s="79" t="n"/>
      <c r="R37" s="68" t="inlineStr">
        <is>
          <t>Nota informativa, scheda I costi (marzo 2026)</t>
        </is>
      </c>
      <c r="S37" s="67" t="inlineStr">
        <is>
          <t>Rate mensili, trimestrali o annuali (minimo 150 € a rata); comparto predefinito BAP Pensione TFR; 20 € per accedere, 2 € a rata</t>
        </is>
      </c>
      <c r="T37" s="68" t="inlineStr">
        <is>
          <t>Supplemento alla Nota informativa (luglio 2026)</t>
        </is>
      </c>
      <c r="U37" s="83" t="n">
        <v>46303</v>
      </c>
      <c r="V37" s="67" t="inlineStr">
        <is>
          <t>Tavola IPS55, più datata delle A62: ipotizza una vita più breve e quindi una rata più alta.</t>
        </is>
      </c>
    </row>
    <row r="38">
      <c r="A38" s="67" t="str">
        <f>Sheet1!$A$39</f>
        <v>CORE PENSION FONDO PENSIONE APERTO</v>
      </c>
      <c r="B38" s="67" t="n"/>
      <c r="C38" s="67" t="n"/>
      <c r="D38" s="67" t="n"/>
      <c r="E38" s="67" t="n"/>
      <c r="F38" s="67" t="n"/>
      <c r="G38" s="67" t="n"/>
      <c r="H38" s="78">
        <f>COUNTIF(D38:G38,"Sì*")</f>
        <v>0</v>
      </c>
      <c r="I38" s="79" t="n"/>
      <c r="J38" s="80" t="str">
        <f>IF(I38="","",I38/10000)</f>
        <v/>
      </c>
      <c r="K38" s="81" t="n"/>
      <c r="L38" s="67" t="n"/>
      <c r="M38" s="80" t="n"/>
      <c r="N38" s="79" t="n"/>
      <c r="O38" s="79" t="n"/>
      <c r="P38" s="79" t="n"/>
      <c r="Q38" s="79" t="n"/>
      <c r="R38" s="67" t="n"/>
      <c r="S38" s="67" t="n"/>
      <c r="T38" s="67" t="n"/>
      <c r="U38" s="83" t="n"/>
      <c r="V38" s="67" t="n"/>
    </row>
    <row r="39">
      <c r="A39" s="67" t="str">
        <f>Sheet1!$A$40</f>
        <v>AZIMUT SUSTAINABLE FUTURE - FONDO PENSIONE APERTO</v>
      </c>
      <c r="B39" s="67" t="n"/>
      <c r="C39" s="67" t="n"/>
      <c r="D39" s="67" t="n"/>
      <c r="E39" s="67" t="n"/>
      <c r="F39" s="67" t="n"/>
      <c r="G39" s="67" t="n"/>
      <c r="H39" s="78">
        <f>COUNTIF(D39:G39,"Sì*")</f>
        <v>0</v>
      </c>
      <c r="I39" s="79" t="n"/>
      <c r="J39" s="80" t="str">
        <f>IF(I39="","",I39/10000)</f>
        <v/>
      </c>
      <c r="K39" s="81" t="n"/>
      <c r="L39" s="67" t="n"/>
      <c r="M39" s="80" t="n"/>
      <c r="N39" s="79" t="n"/>
      <c r="O39" s="79" t="n"/>
      <c r="P39" s="79" t="n"/>
      <c r="Q39" s="79" t="n"/>
      <c r="R39" s="67" t="n"/>
      <c r="S39" s="67" t="n"/>
      <c r="T39" s="67" t="n"/>
      <c r="U39" s="83" t="n"/>
      <c r="V39" s="67" t="n"/>
    </row>
  </sheetData>
  <autoFilter ref="A1:V39"/>
  <hyperlinks>
    <hyperlink xmlns:r="http://schemas.openxmlformats.org/officeDocument/2006/relationships" ref="B2" r:id="rId1"/>
    <hyperlink xmlns:r="http://schemas.openxmlformats.org/officeDocument/2006/relationships" ref="R2" r:id="rId2"/>
    <hyperlink xmlns:r="http://schemas.openxmlformats.org/officeDocument/2006/relationships" ref="T2" r:id="rId3"/>
    <hyperlink xmlns:r="http://schemas.openxmlformats.org/officeDocument/2006/relationships" ref="B3" r:id="rId4"/>
    <hyperlink xmlns:r="http://schemas.openxmlformats.org/officeDocument/2006/relationships" ref="R3" r:id="rId5"/>
    <hyperlink xmlns:r="http://schemas.openxmlformats.org/officeDocument/2006/relationships" ref="T3" r:id="rId6"/>
    <hyperlink xmlns:r="http://schemas.openxmlformats.org/officeDocument/2006/relationships" ref="B4" r:id="rId7"/>
    <hyperlink xmlns:r="http://schemas.openxmlformats.org/officeDocument/2006/relationships" ref="R4" r:id="rId8"/>
    <hyperlink xmlns:r="http://schemas.openxmlformats.org/officeDocument/2006/relationships" ref="B6" r:id="rId9"/>
    <hyperlink xmlns:r="http://schemas.openxmlformats.org/officeDocument/2006/relationships" ref="R6" r:id="rId10"/>
    <hyperlink xmlns:r="http://schemas.openxmlformats.org/officeDocument/2006/relationships" ref="T6" r:id="rId11"/>
    <hyperlink xmlns:r="http://schemas.openxmlformats.org/officeDocument/2006/relationships" ref="B7" r:id="rId12"/>
    <hyperlink xmlns:r="http://schemas.openxmlformats.org/officeDocument/2006/relationships" ref="R7" r:id="rId13"/>
    <hyperlink xmlns:r="http://schemas.openxmlformats.org/officeDocument/2006/relationships" ref="T7" r:id="rId14"/>
    <hyperlink xmlns:r="http://schemas.openxmlformats.org/officeDocument/2006/relationships" ref="R8" r:id="rId15"/>
    <hyperlink xmlns:r="http://schemas.openxmlformats.org/officeDocument/2006/relationships" ref="B14" r:id="rId16"/>
    <hyperlink xmlns:r="http://schemas.openxmlformats.org/officeDocument/2006/relationships" ref="R14" r:id="rId17"/>
    <hyperlink xmlns:r="http://schemas.openxmlformats.org/officeDocument/2006/relationships" ref="T14" r:id="rId18"/>
    <hyperlink xmlns:r="http://schemas.openxmlformats.org/officeDocument/2006/relationships" ref="B15" r:id="rId19"/>
    <hyperlink xmlns:r="http://schemas.openxmlformats.org/officeDocument/2006/relationships" ref="R15" r:id="rId20"/>
    <hyperlink xmlns:r="http://schemas.openxmlformats.org/officeDocument/2006/relationships" ref="T15" r:id="rId21"/>
    <hyperlink xmlns:r="http://schemas.openxmlformats.org/officeDocument/2006/relationships" ref="R16" r:id="rId22"/>
    <hyperlink xmlns:r="http://schemas.openxmlformats.org/officeDocument/2006/relationships" ref="R17" r:id="rId23"/>
    <hyperlink xmlns:r="http://schemas.openxmlformats.org/officeDocument/2006/relationships" ref="B18" r:id="rId24"/>
    <hyperlink xmlns:r="http://schemas.openxmlformats.org/officeDocument/2006/relationships" ref="B21" r:id="rId25"/>
    <hyperlink xmlns:r="http://schemas.openxmlformats.org/officeDocument/2006/relationships" ref="T21" r:id="rId26"/>
    <hyperlink xmlns:r="http://schemas.openxmlformats.org/officeDocument/2006/relationships" ref="B22" r:id="rId27"/>
    <hyperlink xmlns:r="http://schemas.openxmlformats.org/officeDocument/2006/relationships" ref="R22" r:id="rId28"/>
    <hyperlink xmlns:r="http://schemas.openxmlformats.org/officeDocument/2006/relationships" ref="T22" r:id="rId29"/>
    <hyperlink xmlns:r="http://schemas.openxmlformats.org/officeDocument/2006/relationships" ref="B23" r:id="rId30"/>
    <hyperlink xmlns:r="http://schemas.openxmlformats.org/officeDocument/2006/relationships" ref="R23" r:id="rId31"/>
    <hyperlink xmlns:r="http://schemas.openxmlformats.org/officeDocument/2006/relationships" ref="T23" r:id="rId32"/>
    <hyperlink xmlns:r="http://schemas.openxmlformats.org/officeDocument/2006/relationships" ref="B24" r:id="rId33"/>
    <hyperlink xmlns:r="http://schemas.openxmlformats.org/officeDocument/2006/relationships" ref="R24" r:id="rId34"/>
    <hyperlink xmlns:r="http://schemas.openxmlformats.org/officeDocument/2006/relationships" ref="T24" r:id="rId35"/>
    <hyperlink xmlns:r="http://schemas.openxmlformats.org/officeDocument/2006/relationships" ref="B25" r:id="rId36"/>
    <hyperlink xmlns:r="http://schemas.openxmlformats.org/officeDocument/2006/relationships" ref="R25" r:id="rId37"/>
    <hyperlink xmlns:r="http://schemas.openxmlformats.org/officeDocument/2006/relationships" ref="T25" r:id="rId38"/>
    <hyperlink xmlns:r="http://schemas.openxmlformats.org/officeDocument/2006/relationships" ref="B26" r:id="rId39"/>
    <hyperlink xmlns:r="http://schemas.openxmlformats.org/officeDocument/2006/relationships" ref="R26" r:id="rId40"/>
    <hyperlink xmlns:r="http://schemas.openxmlformats.org/officeDocument/2006/relationships" ref="T26" r:id="rId41"/>
    <hyperlink xmlns:r="http://schemas.openxmlformats.org/officeDocument/2006/relationships" ref="B28" r:id="rId42"/>
    <hyperlink xmlns:r="http://schemas.openxmlformats.org/officeDocument/2006/relationships" ref="R28" r:id="rId43"/>
    <hyperlink xmlns:r="http://schemas.openxmlformats.org/officeDocument/2006/relationships" ref="T28" r:id="rId44"/>
    <hyperlink xmlns:r="http://schemas.openxmlformats.org/officeDocument/2006/relationships" ref="B29" r:id="rId45"/>
    <hyperlink xmlns:r="http://schemas.openxmlformats.org/officeDocument/2006/relationships" ref="R29" r:id="rId46"/>
    <hyperlink xmlns:r="http://schemas.openxmlformats.org/officeDocument/2006/relationships" ref="T29" r:id="rId47"/>
    <hyperlink xmlns:r="http://schemas.openxmlformats.org/officeDocument/2006/relationships" ref="B30" r:id="rId48"/>
    <hyperlink xmlns:r="http://schemas.openxmlformats.org/officeDocument/2006/relationships" ref="R30" r:id="rId49"/>
    <hyperlink xmlns:r="http://schemas.openxmlformats.org/officeDocument/2006/relationships" ref="T30" r:id="rId50"/>
    <hyperlink xmlns:r="http://schemas.openxmlformats.org/officeDocument/2006/relationships" ref="R31" r:id="rId51"/>
    <hyperlink xmlns:r="http://schemas.openxmlformats.org/officeDocument/2006/relationships" ref="T31" r:id="rId52"/>
    <hyperlink xmlns:r="http://schemas.openxmlformats.org/officeDocument/2006/relationships" ref="B32" r:id="rId53"/>
    <hyperlink xmlns:r="http://schemas.openxmlformats.org/officeDocument/2006/relationships" ref="R32" r:id="rId54"/>
    <hyperlink xmlns:r="http://schemas.openxmlformats.org/officeDocument/2006/relationships" ref="T32" r:id="rId55"/>
    <hyperlink xmlns:r="http://schemas.openxmlformats.org/officeDocument/2006/relationships" ref="B33" r:id="rId56"/>
    <hyperlink xmlns:r="http://schemas.openxmlformats.org/officeDocument/2006/relationships" ref="R33" r:id="rId57"/>
    <hyperlink xmlns:r="http://schemas.openxmlformats.org/officeDocument/2006/relationships" ref="T33" r:id="rId58"/>
    <hyperlink xmlns:r="http://schemas.openxmlformats.org/officeDocument/2006/relationships" ref="B35" r:id="rId59"/>
    <hyperlink xmlns:r="http://schemas.openxmlformats.org/officeDocument/2006/relationships" ref="R35" r:id="rId60"/>
    <hyperlink xmlns:r="http://schemas.openxmlformats.org/officeDocument/2006/relationships" ref="T35" r:id="rId61"/>
    <hyperlink xmlns:r="http://schemas.openxmlformats.org/officeDocument/2006/relationships" ref="B36" r:id="rId62"/>
    <hyperlink xmlns:r="http://schemas.openxmlformats.org/officeDocument/2006/relationships" ref="R36" r:id="rId63"/>
    <hyperlink xmlns:r="http://schemas.openxmlformats.org/officeDocument/2006/relationships" ref="T36" r:id="rId64"/>
    <hyperlink xmlns:r="http://schemas.openxmlformats.org/officeDocument/2006/relationships" ref="B37" r:id="rId65"/>
    <hyperlink xmlns:r="http://schemas.openxmlformats.org/officeDocument/2006/relationships" ref="R37" r:id="rId66"/>
    <hyperlink xmlns:r="http://schemas.openxmlformats.org/officeDocument/2006/relationships" ref="T37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2026-10-08T06:41:40Z</dcterms:created>
  <dcterms:modified xsi:type="dcterms:W3CDTF">2026-10-09T05:28:00Z</dcterms:modified>
  <cp:lastModifiedBy>Andrea Gallegati</cp:lastModifiedBy>
</cp:coreProperties>
</file>