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andrea\Downloads\"/>
    </mc:Choice>
  </mc:AlternateContent>
  <xr:revisionPtr revIDLastSave="0" documentId="13_ncr:1_{D90C4714-9CBC-40CD-B849-37759377CF9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heet1" sheetId="1" r:id="rId1"/>
    <sheet name="Comparti" sheetId="2" r:id="rId2"/>
  </sheets>
  <definedNames>
    <definedName name="_xlnm._FilterDatabase" localSheetId="1" hidden="1">Comparti!$A$1:$J$103</definedName>
    <definedName name="_xlnm._FilterDatabase" localSheetId="0" hidden="1">Sheet1!$A$2:$Q$40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H19" i="1"/>
  <c r="L31" i="1"/>
  <c r="H35" i="1"/>
  <c r="L38" i="1"/>
  <c r="H39" i="1"/>
  <c r="A2" i="2"/>
  <c r="A3" i="2"/>
  <c r="A4" i="2"/>
  <c r="H23" i="1" s="1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I23" i="1" l="1"/>
  <c r="K23" i="1"/>
  <c r="J23" i="1"/>
  <c r="I39" i="1"/>
  <c r="J39" i="1"/>
  <c r="I35" i="1"/>
  <c r="K35" i="1"/>
  <c r="J35" i="1"/>
  <c r="I19" i="1"/>
  <c r="K19" i="1"/>
  <c r="J19" i="1"/>
  <c r="H31" i="1"/>
  <c r="L27" i="1"/>
  <c r="H15" i="1"/>
  <c r="L11" i="1"/>
  <c r="H3" i="1"/>
  <c r="H36" i="1"/>
  <c r="L36" i="1"/>
  <c r="H40" i="1"/>
  <c r="L40" i="1"/>
  <c r="H10" i="1"/>
  <c r="L10" i="1"/>
  <c r="H14" i="1"/>
  <c r="L14" i="1"/>
  <c r="H18" i="1"/>
  <c r="L18" i="1"/>
  <c r="H22" i="1"/>
  <c r="L22" i="1"/>
  <c r="H26" i="1"/>
  <c r="L26" i="1"/>
  <c r="H30" i="1"/>
  <c r="L30" i="1"/>
  <c r="H34" i="1"/>
  <c r="L34" i="1"/>
  <c r="L6" i="1"/>
  <c r="H6" i="1"/>
  <c r="L39" i="1"/>
  <c r="H27" i="1"/>
  <c r="L23" i="1"/>
  <c r="H11" i="1"/>
  <c r="L7" i="1"/>
  <c r="H4" i="1"/>
  <c r="K39" i="1"/>
  <c r="H38" i="1"/>
  <c r="L35" i="1"/>
  <c r="L19" i="1"/>
  <c r="H7" i="1"/>
  <c r="L3" i="1"/>
  <c r="L37" i="1"/>
  <c r="H37" i="1"/>
  <c r="L33" i="1"/>
  <c r="H33" i="1"/>
  <c r="L29" i="1"/>
  <c r="H29" i="1"/>
  <c r="L25" i="1"/>
  <c r="H25" i="1"/>
  <c r="L21" i="1"/>
  <c r="H21" i="1"/>
  <c r="L17" i="1"/>
  <c r="H17" i="1"/>
  <c r="L13" i="1"/>
  <c r="H13" i="1"/>
  <c r="L9" i="1"/>
  <c r="H9" i="1"/>
  <c r="L5" i="1"/>
  <c r="H5" i="1"/>
  <c r="L32" i="1"/>
  <c r="H32" i="1"/>
  <c r="L28" i="1"/>
  <c r="H28" i="1"/>
  <c r="L24" i="1"/>
  <c r="H24" i="1"/>
  <c r="L20" i="1"/>
  <c r="H20" i="1"/>
  <c r="L16" i="1"/>
  <c r="H16" i="1"/>
  <c r="L12" i="1"/>
  <c r="H12" i="1"/>
  <c r="L8" i="1"/>
  <c r="H8" i="1"/>
  <c r="L4" i="1"/>
  <c r="J8" i="1" l="1"/>
  <c r="I8" i="1"/>
  <c r="K8" i="1"/>
  <c r="J16" i="1"/>
  <c r="I16" i="1"/>
  <c r="K16" i="1"/>
  <c r="J24" i="1"/>
  <c r="I24" i="1"/>
  <c r="K24" i="1"/>
  <c r="J32" i="1"/>
  <c r="I32" i="1"/>
  <c r="K32" i="1"/>
  <c r="K9" i="1"/>
  <c r="I9" i="1"/>
  <c r="J9" i="1"/>
  <c r="K17" i="1"/>
  <c r="I17" i="1"/>
  <c r="J17" i="1"/>
  <c r="K25" i="1"/>
  <c r="I25" i="1"/>
  <c r="J25" i="1"/>
  <c r="K33" i="1"/>
  <c r="I33" i="1"/>
  <c r="J33" i="1"/>
  <c r="J38" i="1"/>
  <c r="K38" i="1"/>
  <c r="I38" i="1"/>
  <c r="I11" i="1"/>
  <c r="K11" i="1"/>
  <c r="J11" i="1"/>
  <c r="J6" i="1"/>
  <c r="K6" i="1"/>
  <c r="I6" i="1"/>
  <c r="I3" i="1"/>
  <c r="J3" i="1"/>
  <c r="K3" i="1"/>
  <c r="I31" i="1"/>
  <c r="K31" i="1"/>
  <c r="J31" i="1"/>
  <c r="I7" i="1"/>
  <c r="K7" i="1"/>
  <c r="J7" i="1"/>
  <c r="J30" i="1"/>
  <c r="K30" i="1"/>
  <c r="I30" i="1"/>
  <c r="J22" i="1"/>
  <c r="K22" i="1"/>
  <c r="I22" i="1"/>
  <c r="J14" i="1"/>
  <c r="K14" i="1"/>
  <c r="I14" i="1"/>
  <c r="I40" i="1"/>
  <c r="J40" i="1"/>
  <c r="K40" i="1"/>
  <c r="J12" i="1"/>
  <c r="I12" i="1"/>
  <c r="K12" i="1"/>
  <c r="J20" i="1"/>
  <c r="I20" i="1"/>
  <c r="K20" i="1"/>
  <c r="J28" i="1"/>
  <c r="I28" i="1"/>
  <c r="K28" i="1"/>
  <c r="K5" i="1"/>
  <c r="I5" i="1"/>
  <c r="J5" i="1"/>
  <c r="K13" i="1"/>
  <c r="I13" i="1"/>
  <c r="J13" i="1"/>
  <c r="K21" i="1"/>
  <c r="I21" i="1"/>
  <c r="J21" i="1"/>
  <c r="K29" i="1"/>
  <c r="I29" i="1"/>
  <c r="J29" i="1"/>
  <c r="K37" i="1"/>
  <c r="I37" i="1"/>
  <c r="J37" i="1"/>
  <c r="I4" i="1"/>
  <c r="J4" i="1"/>
  <c r="K4" i="1"/>
  <c r="I27" i="1"/>
  <c r="K27" i="1"/>
  <c r="J27" i="1"/>
  <c r="I15" i="1"/>
  <c r="K15" i="1"/>
  <c r="J15" i="1"/>
  <c r="J34" i="1"/>
  <c r="K34" i="1"/>
  <c r="I34" i="1"/>
  <c r="J26" i="1"/>
  <c r="K26" i="1"/>
  <c r="I26" i="1"/>
  <c r="J18" i="1"/>
  <c r="K18" i="1"/>
  <c r="I18" i="1"/>
  <c r="J10" i="1"/>
  <c r="K10" i="1"/>
  <c r="I10" i="1"/>
  <c r="J36" i="1"/>
  <c r="I36" i="1"/>
  <c r="K36" i="1"/>
</calcChain>
</file>

<file path=xl/sharedStrings.xml><?xml version="1.0" encoding="utf-8"?>
<sst xmlns="http://schemas.openxmlformats.org/spreadsheetml/2006/main" count="577" uniqueCount="246">
  <si>
    <t>Denominazione</t>
  </si>
  <si>
    <t>ALLIANZ PREVIDENZA FONDO PENSIONE APERTO A CONTRIBUZIONE DEFINITA</t>
  </si>
  <si>
    <t>PREVIDENZA PER TE - FONDO PENSIONE APERTO</t>
  </si>
  <si>
    <t>ALMEGLIO - FONDO PENSIONE APERTO ALLEANZA A CONTRIBUZIONE DEFINITA</t>
  </si>
  <si>
    <t>FONDO PENSIONE FIDEURAM FONDO PENSIONE APERTO</t>
  </si>
  <si>
    <t>GENERALI GLOBAL - FONDO PENSIONE APERTO A CONTRIBUZIONE DEFINITA</t>
  </si>
  <si>
    <t>PREVIDSYSTEM - FONDO PENSIONE APERTO</t>
  </si>
  <si>
    <t>FONDO PENSIONE APERTO TESEO</t>
  </si>
  <si>
    <t>DESTINAZIONE FUTURO - FONDO PENSIONE APERTO BY CREDEMVITA</t>
  </si>
  <si>
    <t>FONDO PENSIONE APERTO VITTORIA FORMULA LAVORO</t>
  </si>
  <si>
    <t>ARCA PREVIDENZA FONDO PENSIONE APERTO</t>
  </si>
  <si>
    <t>FONDO PENSIONE APERTO UNIPOL PREVIDENZA FPA</t>
  </si>
  <si>
    <t>FONDO PENSIONE APERTO VERA VITA</t>
  </si>
  <si>
    <t>UNICREDIT - FONDO PENSIONE APERTO A CONTRIBUZIONE DEFINITA</t>
  </si>
  <si>
    <t>FONDO PENSIONE APERTO PREVIGEST FUND MEDIOLANUM</t>
  </si>
  <si>
    <t>FONDO PENSIONE APERTO ZURICH CONTRIBUTION</t>
  </si>
  <si>
    <t>ZED OMNIFUND - FONDO PENSIONE APERTO</t>
  </si>
  <si>
    <t>PLURIFONDS IL FONDO PENSIONE APERTO DI ITAS VITA</t>
  </si>
  <si>
    <t>EURORISPARMIO PREVIDENZA COMPLEMENTARE FONDO PENSIONE APERTO</t>
  </si>
  <si>
    <t>FONDO PENSIONE APERTO AUREO</t>
  </si>
  <si>
    <t>FONDO PENSIONE APERTO CREDIT AGRICOLE VITA</t>
  </si>
  <si>
    <t>ARTI &amp; MESTIERI - FONDO PENSIONE APERTO</t>
  </si>
  <si>
    <t>SECONDAPENSIONE FONDO PENSIONE APERTO</t>
  </si>
  <si>
    <t>FONDO PENSIONE APERTO GIUSTINIANO</t>
  </si>
  <si>
    <t>PROGRAMMA OPEN FONDO PENSIONE APERTO</t>
  </si>
  <si>
    <t>FONDO PENSIONE APERTO IL MIO DOMANI</t>
  </si>
  <si>
    <t>AZIMUT PREVIDENZA - FONDO PENSIONE APERTO</t>
  </si>
  <si>
    <t>AZIONE DI PREVIDENZA - FONDO PENSIONE APERTO</t>
  </si>
  <si>
    <t>FONDO PENSIONE APERTO CNP</t>
  </si>
  <si>
    <t>INSIEME - FONDO PENSIONE APERTO A CONTRIBUZIONE DEFINITA</t>
  </si>
  <si>
    <t>FONDO PENSIONE APERTO BIM VITA</t>
  </si>
  <si>
    <t>FONDO PENSIONE APERTO PENSPLAN PROFI</t>
  </si>
  <si>
    <t>RAIFFEISEN FONDO PENSIONE APERTO</t>
  </si>
  <si>
    <t>FONDO PENSIONE APERTO IL MELOGRANO</t>
  </si>
  <si>
    <t>FONDO PENSIONE APERTO UBI PREVIDENZA</t>
  </si>
  <si>
    <t>FONDO PENSIONE APERTO SOLUZIONE PREVIDENTE</t>
  </si>
  <si>
    <t>BAP PENSIONE 2007 FONDO PENSIONE APERTO</t>
  </si>
  <si>
    <t>CORE PENSION FONDO PENSIONE APERTO</t>
  </si>
  <si>
    <t>AZIMUT SUSTAINABLE FUTURE - FONDO PENSIONE APERTO</t>
  </si>
  <si>
    <t>Pagina informativa (URL)</t>
  </si>
  <si>
    <t>https://www.allianz.it/le-soluzioni-per-te/previdenza/fondi-pensione/allianz-previdenza.html</t>
  </si>
  <si>
    <t>https://www.axa-mps.it/fondo-pensione-aperto</t>
  </si>
  <si>
    <t>https://www.alleanza.it/previdenza-complementare/almeglio/</t>
  </si>
  <si>
    <t>https://www.fideuram.it/prodotti-e-soluzioni-personalizzate/assicurazione-e-previdenza/previdenza/fondo-pensione-fideuram/</t>
  </si>
  <si>
    <t>https://www.generali.it/previdenza/generali-global-fondo-pensione-aperto/</t>
  </si>
  <si>
    <t>https://www.intesasanpaoloassicurazioni.com/it/prodotti-e-rendimenti/pensione-integrativa/previdsystem.html</t>
  </si>
  <si>
    <t>https://www.realemutua.it/risparmio/previdenza/fondo-pensione-teseo</t>
  </si>
  <si>
    <t>https://www.credem.it/content/credem/it/privati-e-famiglie/assicurazione-e-previdenza/previdenza/fondo-pensione.html</t>
  </si>
  <si>
    <t>https://www.vittoriaassicurazioni.com/performances/fondo-pensione/</t>
  </si>
  <si>
    <t>https://www.arcafondi.it/s/previdenza</t>
  </si>
  <si>
    <t>https://www.unipol.it/aziende/risparmio-previdenza/fondo-pensione-aperto</t>
  </si>
  <si>
    <t>https://www.bancobpmvita.it/prodotti/previdenza/fondo-pensione-aperto-vera-vita/</t>
  </si>
  <si>
    <t>https://www.unicreditallianzvita.it/le-soluzioni-per-te/archivio-prodotti/previdenza.html</t>
  </si>
  <si>
    <t>https://www.mediolanumgestionefondi.it/fondi-pensione</t>
  </si>
  <si>
    <t>https://www.zurich.it/persone/risparmio-e-investimento/previdenza/zurich-contribution</t>
  </si>
  <si>
    <t>https://www.zurich.it/gruppo-zurich/zurich-italia/partner/banks-and-ifa/zed-omnifund</t>
  </si>
  <si>
    <t>https://www.gruppoitas.it/it/prodotti/fondo-pensione-plurifonds</t>
  </si>
  <si>
    <t>https://www.sella.it/banca-on-line/privati/consulenza-e-investimenti/prodotti-di-investimento/fondi-pensione</t>
  </si>
  <si>
    <t>https://www.bccrisparmioeprevidenza.it/it-IT/pagine/prodotti/fondo-pensione.aspx</t>
  </si>
  <si>
    <t>https://www.credit-agricole.it/privati/investimenti/previdenza-e-fondi-pensione/fondo-pensione-aperto</t>
  </si>
  <si>
    <t>https://www.animasgr.it/IT/investitore-privato/prodotti/Pagine/fondopensione.aspx</t>
  </si>
  <si>
    <t>https://www.secondapensione.it</t>
  </si>
  <si>
    <t>https://www.intesasanpaoloassicurazioni.com/it/prodotti-e-rendimenti/pensione-integrativa/giustiniano.html</t>
  </si>
  <si>
    <t>https://www.groupama.it/previdenza-integrativa/programma-open/</t>
  </si>
  <si>
    <t>https://www.intesasanpaolo.com/it/persone-e-famiglie/prodotti/piani-previdenza-complementare-pensione-integrativa/fondo-pensione-aperto-il-mio-domani-adesioni-individuali.html</t>
  </si>
  <si>
    <t>https://www.azimutwm.it/web/azimut.it/prodotti/previdenza</t>
  </si>
  <si>
    <t>https://www.hdiassicurazioni.it/it/privati/previdenza/fondo-pensione-aperto</t>
  </si>
  <si>
    <t>https://gruppocnp.it/prodotti/fondo-pensione-aperto/fondo-pensione-aperto-cnp</t>
  </si>
  <si>
    <t>https://www.allianz.it/le-soluzioni-per-te/previdenza/fondi-pensione/insieme.html</t>
  </si>
  <si>
    <t>https://www.unipol.it/risparmio-previdenza/pensione-integrativa-fondi-pensione/fondo-pensione-aperto-bv</t>
  </si>
  <si>
    <t>https://www.fondopensioneprofi.com/</t>
  </si>
  <si>
    <t>https://www.raiffeisenpensionsfonds.it/it/il-raiffeisen-fondo-pensione/chi-siamo.html</t>
  </si>
  <si>
    <t>https://www.assimoco.it/assimoco/offerta/protezione-persona-casa-famiglia/previdenza/il-melograno.html</t>
  </si>
  <si>
    <t>https://www.intesasanpaoloassicurazioni.com/it/prodotti-e-rendimenti/pensione-integrativa/fondo-pensione-aperto-ubi-previdenza.html</t>
  </si>
  <si>
    <t>https://www.helvetia.com/it/web/it/prodotti-e-servizi/prodotti-dedicati-alla-previdenza-complementare/previdenza_complementare/fpa-soluzione-previdente.html</t>
  </si>
  <si>
    <t>https://www.intesasanpaoloassicurazioni.com/it/prodotti-e-rendimenti/pensione-integrativa/bappensione-2007.html</t>
  </si>
  <si>
    <t>https://www.corepension.it</t>
  </si>
  <si>
    <t>Fondo</t>
  </si>
  <si>
    <t>Comparto</t>
  </si>
  <si>
    <t>Categoria (Ciao Elsa)</t>
  </si>
  <si>
    <t>% Azioni</t>
  </si>
  <si>
    <t>% Obbligazioni</t>
  </si>
  <si>
    <t>Rendimento netto medio annuo</t>
  </si>
  <si>
    <t>Periodo rendimento (anni)</t>
  </si>
  <si>
    <t>Commissione di gestione annua</t>
  </si>
  <si>
    <t>Scheda Ciao Elsa (fonte)</t>
  </si>
  <si>
    <t>Note</t>
  </si>
  <si>
    <t>Linea azionaria</t>
  </si>
  <si>
    <t>AZN</t>
  </si>
  <si>
    <t>Linea bilanciata</t>
  </si>
  <si>
    <t>BIL</t>
  </si>
  <si>
    <t>Linea flessibile</t>
  </si>
  <si>
    <t>OBB PURO</t>
  </si>
  <si>
    <t>Linea obbligazionaria lungo termine</t>
  </si>
  <si>
    <t>Linea obbligazionaria breve termine</t>
  </si>
  <si>
    <t>Crescita</t>
  </si>
  <si>
    <t>Mista</t>
  </si>
  <si>
    <t>Stabilità</t>
  </si>
  <si>
    <t>Garantita</t>
  </si>
  <si>
    <t>OBB MISTO</t>
  </si>
  <si>
    <t>Moneta</t>
  </si>
  <si>
    <t>Millennials</t>
  </si>
  <si>
    <t>Comparto recente: rendimento solo a 5 anni.</t>
  </si>
  <si>
    <t>Valore</t>
  </si>
  <si>
    <t>Equilibrio</t>
  </si>
  <si>
    <t>Sicurezza</t>
  </si>
  <si>
    <t>Garanzia</t>
  </si>
  <si>
    <t>Azionario globale</t>
  </si>
  <si>
    <t>Multiasset</t>
  </si>
  <si>
    <t>Real return</t>
  </si>
  <si>
    <t>Rendimento a 5 anni.</t>
  </si>
  <si>
    <t>Obbligazionario breve termine</t>
  </si>
  <si>
    <t>Obbligazionario</t>
  </si>
  <si>
    <t>Sviluppo etica</t>
  </si>
  <si>
    <t>Bilanciata etica</t>
  </si>
  <si>
    <t>Garantita etica</t>
  </si>
  <si>
    <t>Prudenziale etica</t>
  </si>
  <si>
    <t>Evoluto</t>
  </si>
  <si>
    <t>Bilanciato</t>
  </si>
  <si>
    <t>Moderato</t>
  </si>
  <si>
    <t>Prudente garantito</t>
  </si>
  <si>
    <t>GAR</t>
  </si>
  <si>
    <t>Previdenza capitalizzata</t>
  </si>
  <si>
    <t>Previdenza bilanciato internazionale</t>
  </si>
  <si>
    <t>Comparto recente (avvio 2022): rendimento a 3 anni.</t>
  </si>
  <si>
    <t>Previdenza equilibrata</t>
  </si>
  <si>
    <t>Previdenza garantita</t>
  </si>
  <si>
    <t>Azionario</t>
  </si>
  <si>
    <t>Dinamica</t>
  </si>
  <si>
    <t>Conservativa</t>
  </si>
  <si>
    <t>Azionaria</t>
  </si>
  <si>
    <t>Bilanciata 65</t>
  </si>
  <si>
    <t>Ciao Elsa la classifica AZN (70,6% azioni).</t>
  </si>
  <si>
    <t>Bilanciata 30</t>
  </si>
  <si>
    <t>Obbligazionaria</t>
  </si>
  <si>
    <t>Commissione elevata (1,80%) per un comparto garantito, con rendimento 10a negativo.</t>
  </si>
  <si>
    <t>Activitas</t>
  </si>
  <si>
    <t>Soliditas</t>
  </si>
  <si>
    <t>Aequitas</t>
  </si>
  <si>
    <t>Serenitas</t>
  </si>
  <si>
    <t>Securitas</t>
  </si>
  <si>
    <t>Azionario Europa</t>
  </si>
  <si>
    <t>Azionario internazionale</t>
  </si>
  <si>
    <t>Obbligazionario garantito</t>
  </si>
  <si>
    <t>Garantito ESG</t>
  </si>
  <si>
    <t>Da verificare: Ciao Elsa indica 100% azioni / 0% obbligazioni per un comparto garantito, quasi certamente dati invertiti.</t>
  </si>
  <si>
    <t>Prudente ESG</t>
  </si>
  <si>
    <t>Da verificare: 100% azioni per un comparto prudente (probabile inversione). Rendimento solo a 3 anni (comparto recente).</t>
  </si>
  <si>
    <t>Azionario ESG</t>
  </si>
  <si>
    <t>Bilanciato ESG</t>
  </si>
  <si>
    <t>Obbligazionario ESG</t>
  </si>
  <si>
    <t>Linea dinamica</t>
  </si>
  <si>
    <t>Linea moderata</t>
  </si>
  <si>
    <t>Linea garantita</t>
  </si>
  <si>
    <t>Ciao Elsa la classifica BIL (16% azioni).</t>
  </si>
  <si>
    <t>Garanzia 1+</t>
  </si>
  <si>
    <t>Da verificare: 100% azioni per un comparto garantito, probabile inversione dei dati su Ciao Elsa.</t>
  </si>
  <si>
    <t>Crescita 25+</t>
  </si>
  <si>
    <t>Rivalutazione 10+</t>
  </si>
  <si>
    <t>Equilibrio 5+</t>
  </si>
  <si>
    <t>Incremento e garanzia 5+</t>
  </si>
  <si>
    <t>Conservazione 3+</t>
  </si>
  <si>
    <t>Espansione ESG</t>
  </si>
  <si>
    <t>Sviluppo ESG</t>
  </si>
  <si>
    <t>Bilanciata ESG</t>
  </si>
  <si>
    <t>Garantita ESG</t>
  </si>
  <si>
    <t>Bilanciato etico</t>
  </si>
  <si>
    <t>Vedi nota sul comparto prevalentemente azionario: % forse invertite.</t>
  </si>
  <si>
    <t>Prevalentemente azionario etico</t>
  </si>
  <si>
    <t>Da verificare: 30% azioni per un comparto prevalentemente azionario, mentre il bilanciato ne ha 56%. Le percentuali dei due comparti sembrano invertite.</t>
  </si>
  <si>
    <t>Nuovo obbligazionario etico</t>
  </si>
  <si>
    <t>Ciao Elsa non riporta rendimento né commissione. La commissione minima del fondo indicata da Ciao Elsa (1,10%) potrebbe riferirsi a questo comparto.</t>
  </si>
  <si>
    <t>Equilibrato</t>
  </si>
  <si>
    <t>Equilibrata</t>
  </si>
  <si>
    <t>Prudente</t>
  </si>
  <si>
    <t>Garanzia restituzione capitale</t>
  </si>
  <si>
    <t>Da verificare: 95% azioni per un comparto con garanzia, probabile inversione (atteso circa 5% azioni).</t>
  </si>
  <si>
    <t>Garanzia di rendimento minimo</t>
  </si>
  <si>
    <t>Ciao Elsa la classifica AZN pur con 50% azioni.</t>
  </si>
  <si>
    <t>Linea obbligazionaria</t>
  </si>
  <si>
    <t>Equity</t>
  </si>
  <si>
    <t>Bilanciata globale</t>
  </si>
  <si>
    <t>Bond</t>
  </si>
  <si>
    <t>Società (Ciao Elsa)</t>
  </si>
  <si>
    <t>Spese di adesione (€)</t>
  </si>
  <si>
    <t>Spese annue fisse (€)</t>
  </si>
  <si>
    <t>Costo % sul versato</t>
  </si>
  <si>
    <t>N. linee (dichiarate Ciao Elsa)</t>
  </si>
  <si>
    <t>N. comparti nel foglio Comparti</t>
  </si>
  <si>
    <t>Comm. gestione min</t>
  </si>
  <si>
    <t>Comm. gestione max</t>
  </si>
  <si>
    <t>Max % azioni tra i comparti</t>
  </si>
  <si>
    <t>Miglior rendimento 10 anni</t>
  </si>
  <si>
    <t>Linee sostenibili (ESG)</t>
  </si>
  <si>
    <t>Life cycle</t>
  </si>
  <si>
    <t>Sottoscrizione online</t>
  </si>
  <si>
    <t>Allianz</t>
  </si>
  <si>
    <t>No</t>
  </si>
  <si>
    <t>Sì</t>
  </si>
  <si>
    <t>Sì (Ciao Elsa)</t>
  </si>
  <si>
    <t>Il testo di Ciao Elsa cita 6 linee, la scheda ne riporta 5. Life cycle con costo di 30 €/anno (non incluso nelle spese annue).</t>
  </si>
  <si>
    <t>AXA MPS</t>
  </si>
  <si>
    <t>No (lista d'attesa)</t>
  </si>
  <si>
    <t>Non sottoscrivibile tramite Ciao Elsa.</t>
  </si>
  <si>
    <t>Nessuna scheda Ciao Elsa fornita. Chiuso a nuove adesioni; dal 1/1/2027 confluisce in Generali Global (fonte generali.it).</t>
  </si>
  <si>
    <t>Fideuram Vita</t>
  </si>
  <si>
    <t>Sottoscrivibile solo tramite Private Banker Fideuram. Commissioni tra le più alte (fino al 2%). Link fornito due volte nell'elenco.</t>
  </si>
  <si>
    <t>Generali Italia</t>
  </si>
  <si>
    <t>La scheda Ciao Elsa segnala life cycle = No, ma il suo testo cita due percorsi (Dinamico, Prudente) senza costi: incoerenza da verificare. Costi ridotti per adesioni collettive.</t>
  </si>
  <si>
    <t>Nessuna scheda Ciao Elsa fornita.</t>
  </si>
  <si>
    <t>Reale Mutua</t>
  </si>
  <si>
    <t>La scheda Ciao Elsa segnala life cycle = No, ma il suo testo cita due profili life cycle (Equilibrio, Evoluzione): incoerenza da verificare. Criteri SRI dal 2006; nessuna spesa annua.</t>
  </si>
  <si>
    <t>Credemvita</t>
  </si>
  <si>
    <t>Ciao Elsa usa il vecchio nome 'Credemprevidenza' (rinominato Destinazione Futuro dal 1/12/2025, comparti rinominati). Ciao Elsa cita la linea obbligazionaria come prima per rendimento COVIP: non è chiaro a quale comparto si riferisca.</t>
  </si>
  <si>
    <t>Vittoria Assicurazioni</t>
  </si>
  <si>
    <t>Mediolanum Gestione Fondi</t>
  </si>
  <si>
    <t>Commissioni 1,50–2,00%, tra le più alte del campione.</t>
  </si>
  <si>
    <t>Zurich Investments Life</t>
  </si>
  <si>
    <t>Rendimenti a 10 anni negativi sui due comparti obbligazionari.</t>
  </si>
  <si>
    <t>Commissioni fino al 2,22% (tra le più alte del campione). Link fornito due volte nell'elenco.</t>
  </si>
  <si>
    <t>ITAS Vita</t>
  </si>
  <si>
    <t>Comparto Aequitas etico.</t>
  </si>
  <si>
    <t>Sella SGR</t>
  </si>
  <si>
    <t>Ciao Elsa: adesione online con SPID e 3 piani life cycle. Link fornito due volte nell'elenco.</t>
  </si>
  <si>
    <t>BCC Risparmio&amp;Previdenza</t>
  </si>
  <si>
    <t>Due comparti con 100% azioni dichiarate (Garantito, Prudente): dati probabilmente errati, vedi foglio Comparti. Spese 2 €/12 € secondo Ciao Elsa; altre fonti viste in precedenza riportavano 10 €/30 €: verificare sulla Scheda costi ufficiale.</t>
  </si>
  <si>
    <t>Crédit Agricole Vita</t>
  </si>
  <si>
    <t>Solo 3 linee; linea garantita classificata BIL.</t>
  </si>
  <si>
    <t>Anima SGR</t>
  </si>
  <si>
    <t>Garanzia 1+ con 100% azioni dichiarate: dato da verificare. Ciao Elsa mostra 6 comparti; la Scheda costi ufficiale per le adesioni collettive elenca anche 'Sviluppo 15+' (7 comparti): verificare.</t>
  </si>
  <si>
    <t>Amundi SGR</t>
  </si>
  <si>
    <t>Commissioni tra le più basse del campione (0,60–0,80%). Tutti i comparti ESG; life cycle incluso.</t>
  </si>
  <si>
    <t>Groupama</t>
  </si>
  <si>
    <t>Le % azioni dei comparti Bilanciato e Prevalentemente azionario sembrano invertite. Il comparto obbligazionario non ha rendimento né commissione.</t>
  </si>
  <si>
    <t>Azimut Capital Management SGR</t>
  </si>
  <si>
    <t>Solo 3 comparti.</t>
  </si>
  <si>
    <t>HDI Assicurazioni</t>
  </si>
  <si>
    <t>Nessuna sintesi descrittiva su Ciao Elsa.</t>
  </si>
  <si>
    <t>CNP Vita Assicura</t>
  </si>
  <si>
    <t>Comparto 'Garanzia restituzione capitale' con 95% azioni: dato da verificare.</t>
  </si>
  <si>
    <t>Ciao Elsa indica 6 linee, ma il suo testo parla di 'sette'. Life cycle con costo di 30 €/anno (non incluso nelle spese annue). Nato per adesioni collettive di grandi aziende. Coperture assicurative opzionali (premio 50/100/150 €). Link fornito due volte nell'elenco.</t>
  </si>
  <si>
    <t>BIM Vita</t>
  </si>
  <si>
    <t>Spese annue 0 € secondo Ciao Elsa. Il fondo ora è commercializzato come 'Unipol Fondo Pensione Aperto BV': verificare se i costi sono cambiati.</t>
  </si>
  <si>
    <t>Assimoco Vita</t>
  </si>
  <si>
    <t>Nessuna spesa annua fissa, ma un costo dello 0,5% su ogni versamento (colonna F).</t>
  </si>
  <si>
    <t>Scheda Ciao Elsa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</si>
</sst>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\ &quot;€&quot;"/>
  </numFmts>
  <fonts count="12" x14ac:knownFonts="1">
    <font>
      <sz val="11"/>
      <name val="Calibri"/>
    </font>
    <font>
      <u/>
      <sz val="11"/>
      <color theme="10"/>
      <name val="Calibri"/>
    </font>
    <font>
      <b/>
      <sz val="14"/>
      <color rgb="FFFFFFFF"/>
      <name val="Calibri"/>
      <family val="2"/>
    </font>
    <font>
      <sz val="14"/>
      <name val="Calibri"/>
      <family val="2"/>
    </font>
    <font>
      <sz val="11"/>
      <name val="Calibri"/>
      <family val="2"/>
    </font>
    <font>
      <u/>
      <sz val="11"/>
      <color rgb="FF0563C1"/>
      <name val="Calibri"/>
      <family val="2"/>
    </font>
    <font>
      <b/>
      <sz val="18"/>
      <color rgb="FFFFFFFF"/>
      <name val="Calibri"/>
      <family val="2"/>
    </font>
    <font>
      <sz val="18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8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3" fillId="0" borderId="0" xfId="0" applyFont="1"/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4" fillId="0" borderId="0" xfId="0" applyFont="1"/>
    <xf numFmtId="0" fontId="7" fillId="0" borderId="0" xfId="0" applyFont="1"/>
    <xf numFmtId="0" fontId="5" fillId="4" borderId="1" xfId="1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5" fillId="5" borderId="1" xfId="1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5" borderId="3" xfId="1" applyFont="1" applyFill="1" applyBorder="1" applyAlignment="1">
      <alignment vertical="center"/>
    </xf>
    <xf numFmtId="0" fontId="8" fillId="5" borderId="3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5" borderId="5" xfId="0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165" fontId="8" fillId="4" borderId="1" xfId="0" applyNumberFormat="1" applyFon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0" fontId="8" fillId="4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0" fontId="8" fillId="5" borderId="1" xfId="0" applyNumberFormat="1" applyFont="1" applyFill="1" applyBorder="1" applyAlignment="1">
      <alignment horizontal="center" vertical="center"/>
    </xf>
    <xf numFmtId="165" fontId="8" fillId="5" borderId="3" xfId="0" applyNumberFormat="1" applyFont="1" applyFill="1" applyBorder="1" applyAlignment="1">
      <alignment horizontal="center" vertical="center"/>
    </xf>
    <xf numFmtId="164" fontId="8" fillId="5" borderId="3" xfId="0" applyNumberFormat="1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10" fontId="8" fillId="5" borderId="3" xfId="0" applyNumberFormat="1" applyFont="1" applyFill="1" applyBorder="1" applyAlignment="1">
      <alignment horizontal="center" vertical="center"/>
    </xf>
    <xf numFmtId="0" fontId="8" fillId="4" borderId="8" xfId="0" applyFont="1" applyFill="1" applyBorder="1" applyAlignment="1">
      <alignment vertical="center" wrapText="1"/>
    </xf>
    <xf numFmtId="0" fontId="8" fillId="5" borderId="8" xfId="0" applyFont="1" applyFill="1" applyBorder="1" applyAlignment="1">
      <alignment vertical="center" wrapText="1"/>
    </xf>
    <xf numFmtId="0" fontId="8" fillId="5" borderId="9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1" fillId="4" borderId="5" xfId="0" applyFont="1" applyFill="1" applyBorder="1"/>
    <xf numFmtId="0" fontId="8" fillId="4" borderId="1" xfId="0" applyFont="1" applyFill="1" applyBorder="1"/>
    <xf numFmtId="0" fontId="11" fillId="5" borderId="5" xfId="0" applyFont="1" applyFill="1" applyBorder="1"/>
    <xf numFmtId="0" fontId="8" fillId="5" borderId="1" xfId="0" applyFont="1" applyFill="1" applyBorder="1"/>
    <xf numFmtId="0" fontId="11" fillId="5" borderId="6" xfId="0" applyFont="1" applyFill="1" applyBorder="1"/>
    <xf numFmtId="0" fontId="8" fillId="5" borderId="3" xfId="0" applyFont="1" applyFill="1" applyBorder="1"/>
    <xf numFmtId="0" fontId="8" fillId="4" borderId="1" xfId="0" applyFont="1" applyFill="1" applyBorder="1" applyAlignment="1">
      <alignment horizontal="center"/>
    </xf>
    <xf numFmtId="10" fontId="8" fillId="4" borderId="1" xfId="0" applyNumberFormat="1" applyFont="1" applyFill="1" applyBorder="1" applyAlignment="1">
      <alignment horizontal="center"/>
    </xf>
    <xf numFmtId="1" fontId="8" fillId="4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10" fontId="8" fillId="5" borderId="1" xfId="0" applyNumberFormat="1" applyFont="1" applyFill="1" applyBorder="1" applyAlignment="1">
      <alignment horizontal="center"/>
    </xf>
    <xf numFmtId="1" fontId="8" fillId="5" borderId="1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10" fontId="8" fillId="5" borderId="3" xfId="0" applyNumberFormat="1" applyFont="1" applyFill="1" applyBorder="1" applyAlignment="1">
      <alignment horizontal="center"/>
    </xf>
    <xf numFmtId="1" fontId="8" fillId="5" borderId="3" xfId="0" applyNumberFormat="1" applyFont="1" applyFill="1" applyBorder="1" applyAlignment="1">
      <alignment horizontal="center"/>
    </xf>
    <xf numFmtId="0" fontId="8" fillId="4" borderId="8" xfId="0" applyFont="1" applyFill="1" applyBorder="1" applyAlignment="1">
      <alignment wrapText="1"/>
    </xf>
    <xf numFmtId="0" fontId="8" fillId="5" borderId="8" xfId="0" applyFont="1" applyFill="1" applyBorder="1" applyAlignment="1">
      <alignment wrapText="1"/>
    </xf>
    <xf numFmtId="0" fontId="8" fillId="5" borderId="9" xfId="0" applyFont="1" applyFill="1" applyBorder="1" applyAlignment="1">
      <alignment wrapText="1"/>
    </xf>
    <xf numFmtId="0" fontId="5" fillId="4" borderId="1" xfId="1" applyFont="1" applyFill="1" applyBorder="1"/>
    <xf numFmtId="0" fontId="5" fillId="5" borderId="1" xfId="1" applyFont="1" applyFill="1" applyBorder="1"/>
    <xf numFmtId="0" fontId="5" fillId="5" borderId="3" xfId="1" applyFont="1" applyFill="1" applyBorder="1"/>
    <xf numFmtId="0" fontId="8" fillId="6" borderId="8" xfId="0" applyFont="1" applyFill="1" applyBorder="1" applyAlignment="1">
      <alignment wrapText="1"/>
    </xf>
    <xf numFmtId="0" fontId="6" fillId="2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CDAD9AE-DD4D-43A4-9844-451CA71DA22C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3910185a-1506-48db-bd18-26ef1a5dd7c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unicreditallianzvita.it/le-soluzioni-per-te/archivio-prodotti/previdenza.html" TargetMode="External"/><Relationship Id="rId18" Type="http://schemas.openxmlformats.org/officeDocument/2006/relationships/hyperlink" Target="https://www.sella.it/banca-on-line/privati/consulenza-e-investimenti/prodotti-di-investimento/fondi-pensione" TargetMode="External"/><Relationship Id="rId26" Type="http://schemas.openxmlformats.org/officeDocument/2006/relationships/hyperlink" Target="https://www.azimutwm.it/web/azimut.it/prodotti/previdenza" TargetMode="External"/><Relationship Id="rId39" Type="http://schemas.openxmlformats.org/officeDocument/2006/relationships/hyperlink" Target="https://www.ciaoelsa.com/schede-fondo/fondi-pensione-aperti/allianz/allianz-previdenza/" TargetMode="External"/><Relationship Id="rId21" Type="http://schemas.openxmlformats.org/officeDocument/2006/relationships/hyperlink" Target="https://www.animasgr.it/IT/investitore-privato/prodotti/Pagine/fondopensione.aspx" TargetMode="External"/><Relationship Id="rId34" Type="http://schemas.openxmlformats.org/officeDocument/2006/relationships/hyperlink" Target="https://www.intesasanpaoloassicurazioni.com/it/prodotti-e-rendimenti/pensione-integrativa/fondo-pensione-aperto-ubi-previdenza.html" TargetMode="External"/><Relationship Id="rId42" Type="http://schemas.openxmlformats.org/officeDocument/2006/relationships/hyperlink" Target="https://www.ciaoelsa.com/schede-fondo/fondi-pensione-aperti/generali/generali-global/" TargetMode="External"/><Relationship Id="rId47" Type="http://schemas.openxmlformats.org/officeDocument/2006/relationships/hyperlink" Target="https://www.ciaoelsa.com/schede-fondo/fondi-pensione-aperti/zurich/zurich-contribution/" TargetMode="External"/><Relationship Id="rId50" Type="http://schemas.openxmlformats.org/officeDocument/2006/relationships/hyperlink" Target="https://www.ciaoelsa.com/schede-fondo/fondi-pensione-aperti/sella/sella-eurorisparmio/" TargetMode="External"/><Relationship Id="rId55" Type="http://schemas.openxmlformats.org/officeDocument/2006/relationships/hyperlink" Target="https://www.ciaoelsa.com/schede-fondo/fondi-pensione-aperti/groupama/groupama-programma-open/" TargetMode="External"/><Relationship Id="rId7" Type="http://schemas.openxmlformats.org/officeDocument/2006/relationships/hyperlink" Target="https://www.realemutua.it/risparmio/previdenza/fondo-pensione-teseo" TargetMode="External"/><Relationship Id="rId2" Type="http://schemas.openxmlformats.org/officeDocument/2006/relationships/hyperlink" Target="https://www.axa-mps.it/fondo-pensione-aperto" TargetMode="External"/><Relationship Id="rId16" Type="http://schemas.openxmlformats.org/officeDocument/2006/relationships/hyperlink" Target="https://www.zurich.it/gruppo-zurich/zurich-italia/partner/banks-and-ifa/zed-omnifund" TargetMode="External"/><Relationship Id="rId29" Type="http://schemas.openxmlformats.org/officeDocument/2006/relationships/hyperlink" Target="https://www.allianz.it/le-soluzioni-per-te/previdenza/fondi-pensione/insieme.html" TargetMode="External"/><Relationship Id="rId11" Type="http://schemas.openxmlformats.org/officeDocument/2006/relationships/hyperlink" Target="https://www.unipol.it/aziende/risparmio-previdenza/fondo-pensione-aperto" TargetMode="External"/><Relationship Id="rId24" Type="http://schemas.openxmlformats.org/officeDocument/2006/relationships/hyperlink" Target="https://www.groupama.it/previdenza-integrativa/programma-open/" TargetMode="External"/><Relationship Id="rId32" Type="http://schemas.openxmlformats.org/officeDocument/2006/relationships/hyperlink" Target="https://www.raiffeisenpensionsfonds.it/it/il-raiffeisen-fondo-pensione/chi-siamo.html" TargetMode="External"/><Relationship Id="rId37" Type="http://schemas.openxmlformats.org/officeDocument/2006/relationships/hyperlink" Target="https://www.corepension.it/" TargetMode="External"/><Relationship Id="rId40" Type="http://schemas.openxmlformats.org/officeDocument/2006/relationships/hyperlink" Target="https://www.ciaoelsa.com/schede-fondo/fondi-pensione-aperti/axa/axa-previdenza-per-te/" TargetMode="External"/><Relationship Id="rId45" Type="http://schemas.openxmlformats.org/officeDocument/2006/relationships/hyperlink" Target="https://www.ciaoelsa.com/schede-fondo/fondi-pensione-aperti/vittoria-assicurazioni/vittoria-formula-lavoro/" TargetMode="External"/><Relationship Id="rId53" Type="http://schemas.openxmlformats.org/officeDocument/2006/relationships/hyperlink" Target="https://www.ciaoelsa.com/schede-fondo/fondi-pensione-aperti/anima/anima-arti-e-mestieri/" TargetMode="External"/><Relationship Id="rId58" Type="http://schemas.openxmlformats.org/officeDocument/2006/relationships/hyperlink" Target="https://www.ciaoelsa.com/schede-fondo/fondi-pensione-aperti/cnp-unicredit/cnp/" TargetMode="External"/><Relationship Id="rId5" Type="http://schemas.openxmlformats.org/officeDocument/2006/relationships/hyperlink" Target="https://www.generali.it/previdenza/generali-global-fondo-pensione-aperto/" TargetMode="External"/><Relationship Id="rId61" Type="http://schemas.openxmlformats.org/officeDocument/2006/relationships/hyperlink" Target="https://www.ciaoelsa.com/schede-fondo/fondi-pensione-aperti/assimoco/assimoco-il-melograno/" TargetMode="External"/><Relationship Id="rId19" Type="http://schemas.openxmlformats.org/officeDocument/2006/relationships/hyperlink" Target="https://www.bccrisparmioeprevidenza.it/it-IT/pagine/prodotti/fondo-pensione.aspx" TargetMode="External"/><Relationship Id="rId14" Type="http://schemas.openxmlformats.org/officeDocument/2006/relationships/hyperlink" Target="https://www.mediolanumgestionefondi.it/fondi-pensione" TargetMode="External"/><Relationship Id="rId22" Type="http://schemas.openxmlformats.org/officeDocument/2006/relationships/hyperlink" Target="https://www.secondapensione.it/" TargetMode="External"/><Relationship Id="rId27" Type="http://schemas.openxmlformats.org/officeDocument/2006/relationships/hyperlink" Target="https://www.hdiassicurazioni.it/it/privati/previdenza/fondo-pensione-aperto" TargetMode="External"/><Relationship Id="rId30" Type="http://schemas.openxmlformats.org/officeDocument/2006/relationships/hyperlink" Target="https://www.unipol.it/risparmio-previdenza/pensione-integrativa-fondi-pensione/fondo-pensione-aperto-bv" TargetMode="External"/><Relationship Id="rId35" Type="http://schemas.openxmlformats.org/officeDocument/2006/relationships/hyperlink" Target="https://www.helvetia.com/it/web/it/prodotti-e-servizi/prodotti-dedicati-alla-previdenza-complementare/previdenza_complementare/fpa-soluzione-previdente.html" TargetMode="External"/><Relationship Id="rId43" Type="http://schemas.openxmlformats.org/officeDocument/2006/relationships/hyperlink" Target="https://www.ciaoelsa.com/schede-fondo/fondi-pensione-aperti/reale-mutua/reale-mutua-teseo/" TargetMode="External"/><Relationship Id="rId48" Type="http://schemas.openxmlformats.org/officeDocument/2006/relationships/hyperlink" Target="https://www.ciaoelsa.com/schede-fondo/fondi-pensione-aperti/zurich/zurich-zed-omnifund/" TargetMode="External"/><Relationship Id="rId56" Type="http://schemas.openxmlformats.org/officeDocument/2006/relationships/hyperlink" Target="https://www.ciaoelsa.com/schede-fondo/fondi-pensione-aperti/azimut/azimut-previdenza/" TargetMode="External"/><Relationship Id="rId8" Type="http://schemas.openxmlformats.org/officeDocument/2006/relationships/hyperlink" Target="https://www.credem.it/content/credem/it/privati-e-famiglie/assicurazione-e-previdenza/previdenza/fondo-pensione.html" TargetMode="External"/><Relationship Id="rId51" Type="http://schemas.openxmlformats.org/officeDocument/2006/relationships/hyperlink" Target="https://www.ciaoelsa.com/schede-fondo/fondi-pensione-aperti/bcc/bcc-aureo/" TargetMode="External"/><Relationship Id="rId3" Type="http://schemas.openxmlformats.org/officeDocument/2006/relationships/hyperlink" Target="https://www.alleanza.it/previdenza-complementare/almeglio/" TargetMode="External"/><Relationship Id="rId12" Type="http://schemas.openxmlformats.org/officeDocument/2006/relationships/hyperlink" Target="https://www.bancobpmvita.it/prodotti/previdenza/fondo-pensione-aperto-vera-vita/" TargetMode="External"/><Relationship Id="rId17" Type="http://schemas.openxmlformats.org/officeDocument/2006/relationships/hyperlink" Target="https://www.gruppoitas.it/it/prodotti/fondo-pensione-plurifonds" TargetMode="External"/><Relationship Id="rId25" Type="http://schemas.openxmlformats.org/officeDocument/2006/relationships/hyperlink" Target="https://www.intesasanpaolo.com/it/persone-e-famiglie/prodotti/piani-previdenza-complementare-pensione-integrativa/fondo-pensione-aperto-il-mio-domani-adesioni-individuali.html" TargetMode="External"/><Relationship Id="rId33" Type="http://schemas.openxmlformats.org/officeDocument/2006/relationships/hyperlink" Target="https://www.assimoco.it/assimoco/offerta/protezione-persona-casa-famiglia/previdenza/il-melograno.html" TargetMode="External"/><Relationship Id="rId38" Type="http://schemas.openxmlformats.org/officeDocument/2006/relationships/hyperlink" Target="https://www.azimutwm.it/web/azimut.it/prodotti/previdenza" TargetMode="External"/><Relationship Id="rId46" Type="http://schemas.openxmlformats.org/officeDocument/2006/relationships/hyperlink" Target="https://www.ciaoelsa.com/schede-fondo/fondi-pensione-aperti/mediolanum/mediolanum-previgest/" TargetMode="External"/><Relationship Id="rId59" Type="http://schemas.openxmlformats.org/officeDocument/2006/relationships/hyperlink" Target="https://www.ciaoelsa.com/schede-fondo/fondi-pensione-aperti/allianz/allianz-insieme/" TargetMode="External"/><Relationship Id="rId20" Type="http://schemas.openxmlformats.org/officeDocument/2006/relationships/hyperlink" Target="https://www.credit-agricole.it/privati/investimenti/previdenza-e-fondi-pensione/fondo-pensione-aperto" TargetMode="External"/><Relationship Id="rId41" Type="http://schemas.openxmlformats.org/officeDocument/2006/relationships/hyperlink" Target="https://www.ciaoelsa.com/schede-fondo/fondi-pensione-aperti/fideuram/fideuram/" TargetMode="External"/><Relationship Id="rId54" Type="http://schemas.openxmlformats.org/officeDocument/2006/relationships/hyperlink" Target="https://www.ciaoelsa.com/schede-fondo/fondi-pensione-aperti/amundi/amundi-secondapensione/" TargetMode="External"/><Relationship Id="rId1" Type="http://schemas.openxmlformats.org/officeDocument/2006/relationships/hyperlink" Target="https://www.allianz.it/le-soluzioni-per-te/previdenza/fondi-pensione/allianz-previdenza.html" TargetMode="External"/><Relationship Id="rId6" Type="http://schemas.openxmlformats.org/officeDocument/2006/relationships/hyperlink" Target="https://www.intesasanpaoloassicurazioni.com/it/prodotti-e-rendimenti/pensione-integrativa/previdsystem.html" TargetMode="External"/><Relationship Id="rId15" Type="http://schemas.openxmlformats.org/officeDocument/2006/relationships/hyperlink" Target="https://www.zurich.it/persone/risparmio-e-investimento/previdenza/zurich-contribution" TargetMode="External"/><Relationship Id="rId23" Type="http://schemas.openxmlformats.org/officeDocument/2006/relationships/hyperlink" Target="https://www.intesasanpaoloassicurazioni.com/it/prodotti-e-rendimenti/pensione-integrativa/giustiniano.html" TargetMode="External"/><Relationship Id="rId28" Type="http://schemas.openxmlformats.org/officeDocument/2006/relationships/hyperlink" Target="https://gruppocnp.it/prodotti/fondo-pensione-aperto/fondo-pensione-aperto-cnp" TargetMode="External"/><Relationship Id="rId36" Type="http://schemas.openxmlformats.org/officeDocument/2006/relationships/hyperlink" Target="https://www.intesasanpaoloassicurazioni.com/it/prodotti-e-rendimenti/pensione-integrativa/bappensione-2007.html" TargetMode="External"/><Relationship Id="rId49" Type="http://schemas.openxmlformats.org/officeDocument/2006/relationships/hyperlink" Target="https://www.ciaoelsa.com/schede-fondo/fondi-pensione-aperti/itas/itas-plurifonds/" TargetMode="External"/><Relationship Id="rId57" Type="http://schemas.openxmlformats.org/officeDocument/2006/relationships/hyperlink" Target="https://www.ciaoelsa.com/schede-fondo/fondi-pensione-aperti/hdi/hdi-azione-di-previdenza/" TargetMode="External"/><Relationship Id="rId10" Type="http://schemas.openxmlformats.org/officeDocument/2006/relationships/hyperlink" Target="https://www.arcafondi.it/s/previdenza" TargetMode="External"/><Relationship Id="rId31" Type="http://schemas.openxmlformats.org/officeDocument/2006/relationships/hyperlink" Target="https://www.fondopensioneprofi.com/" TargetMode="External"/><Relationship Id="rId44" Type="http://schemas.openxmlformats.org/officeDocument/2006/relationships/hyperlink" Target="https://www.ciaoelsa.com/schede-fondo/fondi-pensione-aperti/credem/credemprevidenza/" TargetMode="External"/><Relationship Id="rId52" Type="http://schemas.openxmlformats.org/officeDocument/2006/relationships/hyperlink" Target="https://www.ciaoelsa.com/schede-fondo/fondi-pensione-aperti/credit-agricole/credit-agricole-vita/" TargetMode="External"/><Relationship Id="rId60" Type="http://schemas.openxmlformats.org/officeDocument/2006/relationships/hyperlink" Target="https://www.ciaoelsa.com/schede-fondo/fondi-pensione-aperti/bim-vita/bim-vita/" TargetMode="External"/><Relationship Id="rId4" Type="http://schemas.openxmlformats.org/officeDocument/2006/relationships/hyperlink" Target="https://www.fideuram.it/prodotti-e-soluzioni-personalizzate/assicurazione-e-previdenza/previdenza/fondo-pensione-fideuram/" TargetMode="External"/><Relationship Id="rId9" Type="http://schemas.openxmlformats.org/officeDocument/2006/relationships/hyperlink" Target="https://www.vittoriaassicurazioni.com/performances/fondo-pension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iaoelsa.com/schede-fondo/fondi-pensione-aperti/credem/credemprevidenza/" TargetMode="External"/><Relationship Id="rId21" Type="http://schemas.openxmlformats.org/officeDocument/2006/relationships/hyperlink" Target="https://www.ciaoelsa.com/schede-fondo/fondi-pensione-aperti/generali/generali-global/" TargetMode="External"/><Relationship Id="rId42" Type="http://schemas.openxmlformats.org/officeDocument/2006/relationships/hyperlink" Target="https://www.ciaoelsa.com/schede-fondo/fondi-pensione-aperti/zurich/zurich-zed-omnifund/" TargetMode="External"/><Relationship Id="rId47" Type="http://schemas.openxmlformats.org/officeDocument/2006/relationships/hyperlink" Target="https://www.ciaoelsa.com/schede-fondo/fondi-pensione-aperti/itas/itas-plurifonds/" TargetMode="External"/><Relationship Id="rId63" Type="http://schemas.openxmlformats.org/officeDocument/2006/relationships/hyperlink" Target="https://www.ciaoelsa.com/schede-fondo/fondi-pensione-aperti/anima/anima-arti-e-mestieri/" TargetMode="External"/><Relationship Id="rId68" Type="http://schemas.openxmlformats.org/officeDocument/2006/relationships/hyperlink" Target="https://www.ciaoelsa.com/schede-fondo/fondi-pensione-aperti/anima/anima-arti-e-mestieri/" TargetMode="External"/><Relationship Id="rId84" Type="http://schemas.openxmlformats.org/officeDocument/2006/relationships/hyperlink" Target="https://www.ciaoelsa.com/schede-fondo/fondi-pensione-aperti/cnp-unicredit/cnp/" TargetMode="External"/><Relationship Id="rId89" Type="http://schemas.openxmlformats.org/officeDocument/2006/relationships/hyperlink" Target="https://www.ciaoelsa.com/schede-fondo/fondi-pensione-aperti/allianz/allianz-insieme/" TargetMode="External"/><Relationship Id="rId16" Type="http://schemas.openxmlformats.org/officeDocument/2006/relationships/hyperlink" Target="https://www.ciaoelsa.com/schede-fondo/fondi-pensione-aperti/fideuram/fideuram/" TargetMode="External"/><Relationship Id="rId11" Type="http://schemas.openxmlformats.org/officeDocument/2006/relationships/hyperlink" Target="https://www.ciaoelsa.com/schede-fondo/fondi-pensione-aperti/fideuram/fideuram/" TargetMode="External"/><Relationship Id="rId32" Type="http://schemas.openxmlformats.org/officeDocument/2006/relationships/hyperlink" Target="https://www.ciaoelsa.com/schede-fondo/fondi-pensione-aperti/vittoria-assicurazioni/vittoria-formula-lavoro/" TargetMode="External"/><Relationship Id="rId37" Type="http://schemas.openxmlformats.org/officeDocument/2006/relationships/hyperlink" Target="https://www.ciaoelsa.com/schede-fondo/fondi-pensione-aperti/zurich/zurich-contribution/" TargetMode="External"/><Relationship Id="rId53" Type="http://schemas.openxmlformats.org/officeDocument/2006/relationships/hyperlink" Target="https://www.ciaoelsa.com/schede-fondo/fondi-pensione-aperti/sella/sella-eurorisparmio/" TargetMode="External"/><Relationship Id="rId58" Type="http://schemas.openxmlformats.org/officeDocument/2006/relationships/hyperlink" Target="https://www.ciaoelsa.com/schede-fondo/fondi-pensione-aperti/bcc/bcc-aureo/" TargetMode="External"/><Relationship Id="rId74" Type="http://schemas.openxmlformats.org/officeDocument/2006/relationships/hyperlink" Target="https://www.ciaoelsa.com/schede-fondo/fondi-pensione-aperti/groupama/groupama-programma-open/" TargetMode="External"/><Relationship Id="rId79" Type="http://schemas.openxmlformats.org/officeDocument/2006/relationships/hyperlink" Target="https://www.ciaoelsa.com/schede-fondo/fondi-pensione-aperti/azimut/azimut-previdenza/" TargetMode="External"/><Relationship Id="rId102" Type="http://schemas.openxmlformats.org/officeDocument/2006/relationships/hyperlink" Target="https://www.ciaoelsa.com/schede-fondo/fondi-pensione-aperti/assimoco/assimoco-il-melograno/" TargetMode="External"/><Relationship Id="rId5" Type="http://schemas.openxmlformats.org/officeDocument/2006/relationships/hyperlink" Target="https://www.ciaoelsa.com/schede-fondo/fondi-pensione-aperti/allianz/allianz-previdenza/" TargetMode="External"/><Relationship Id="rId90" Type="http://schemas.openxmlformats.org/officeDocument/2006/relationships/hyperlink" Target="https://www.ciaoelsa.com/schede-fondo/fondi-pensione-aperti/allianz/allianz-insieme/" TargetMode="External"/><Relationship Id="rId95" Type="http://schemas.openxmlformats.org/officeDocument/2006/relationships/hyperlink" Target="https://www.ciaoelsa.com/schede-fondo/fondi-pensione-aperti/bim-vita/bim-vita/" TargetMode="External"/><Relationship Id="rId22" Type="http://schemas.openxmlformats.org/officeDocument/2006/relationships/hyperlink" Target="https://www.ciaoelsa.com/schede-fondo/fondi-pensione-aperti/reale-mutua/reale-mutua-teseo/" TargetMode="External"/><Relationship Id="rId27" Type="http://schemas.openxmlformats.org/officeDocument/2006/relationships/hyperlink" Target="https://www.ciaoelsa.com/schede-fondo/fondi-pensione-aperti/credem/credemprevidenza/" TargetMode="External"/><Relationship Id="rId43" Type="http://schemas.openxmlformats.org/officeDocument/2006/relationships/hyperlink" Target="https://www.ciaoelsa.com/schede-fondo/fondi-pensione-aperti/zurich/zurich-zed-omnifund/" TargetMode="External"/><Relationship Id="rId48" Type="http://schemas.openxmlformats.org/officeDocument/2006/relationships/hyperlink" Target="https://www.ciaoelsa.com/schede-fondo/fondi-pensione-aperti/itas/itas-plurifonds/" TargetMode="External"/><Relationship Id="rId64" Type="http://schemas.openxmlformats.org/officeDocument/2006/relationships/hyperlink" Target="https://www.ciaoelsa.com/schede-fondo/fondi-pensione-aperti/anima/anima-arti-e-mestieri/" TargetMode="External"/><Relationship Id="rId69" Type="http://schemas.openxmlformats.org/officeDocument/2006/relationships/hyperlink" Target="https://www.ciaoelsa.com/schede-fondo/fondi-pensione-aperti/amundi/amundi-secondapensione/" TargetMode="External"/><Relationship Id="rId80" Type="http://schemas.openxmlformats.org/officeDocument/2006/relationships/hyperlink" Target="https://www.ciaoelsa.com/schede-fondo/fondi-pensione-aperti/hdi/hdi-azione-di-previdenza/" TargetMode="External"/><Relationship Id="rId85" Type="http://schemas.openxmlformats.org/officeDocument/2006/relationships/hyperlink" Target="https://www.ciaoelsa.com/schede-fondo/fondi-pensione-aperti/cnp-unicredit/cnp/" TargetMode="External"/><Relationship Id="rId12" Type="http://schemas.openxmlformats.org/officeDocument/2006/relationships/hyperlink" Target="https://www.ciaoelsa.com/schede-fondo/fondi-pensione-aperti/fideuram/fideuram/" TargetMode="External"/><Relationship Id="rId17" Type="http://schemas.openxmlformats.org/officeDocument/2006/relationships/hyperlink" Target="https://www.ciaoelsa.com/schede-fondo/fondi-pensione-aperti/generali/generali-global/" TargetMode="External"/><Relationship Id="rId25" Type="http://schemas.openxmlformats.org/officeDocument/2006/relationships/hyperlink" Target="https://www.ciaoelsa.com/schede-fondo/fondi-pensione-aperti/reale-mutua/reale-mutua-teseo/" TargetMode="External"/><Relationship Id="rId33" Type="http://schemas.openxmlformats.org/officeDocument/2006/relationships/hyperlink" Target="https://www.ciaoelsa.com/schede-fondo/fondi-pensione-aperti/vittoria-assicurazioni/vittoria-formula-lavoro/" TargetMode="External"/><Relationship Id="rId38" Type="http://schemas.openxmlformats.org/officeDocument/2006/relationships/hyperlink" Target="https://www.ciaoelsa.com/schede-fondo/fondi-pensione-aperti/zurich/zurich-contribution/" TargetMode="External"/><Relationship Id="rId46" Type="http://schemas.openxmlformats.org/officeDocument/2006/relationships/hyperlink" Target="https://www.ciaoelsa.com/schede-fondo/fondi-pensione-aperti/itas/itas-plurifonds/" TargetMode="External"/><Relationship Id="rId59" Type="http://schemas.openxmlformats.org/officeDocument/2006/relationships/hyperlink" Target="https://www.ciaoelsa.com/schede-fondo/fondi-pensione-aperti/bcc/bcc-aureo/" TargetMode="External"/><Relationship Id="rId67" Type="http://schemas.openxmlformats.org/officeDocument/2006/relationships/hyperlink" Target="https://www.ciaoelsa.com/schede-fondo/fondi-pensione-aperti/anima/anima-arti-e-mestieri/" TargetMode="External"/><Relationship Id="rId20" Type="http://schemas.openxmlformats.org/officeDocument/2006/relationships/hyperlink" Target="https://www.ciaoelsa.com/schede-fondo/fondi-pensione-aperti/generali/generali-global/" TargetMode="External"/><Relationship Id="rId41" Type="http://schemas.openxmlformats.org/officeDocument/2006/relationships/hyperlink" Target="https://www.ciaoelsa.com/schede-fondo/fondi-pensione-aperti/zurich/zurich-zed-omnifund/" TargetMode="External"/><Relationship Id="rId54" Type="http://schemas.openxmlformats.org/officeDocument/2006/relationships/hyperlink" Target="https://www.ciaoelsa.com/schede-fondo/fondi-pensione-aperti/sella/sella-eurorisparmio/" TargetMode="External"/><Relationship Id="rId62" Type="http://schemas.openxmlformats.org/officeDocument/2006/relationships/hyperlink" Target="https://www.ciaoelsa.com/schede-fondo/fondi-pensione-aperti/credit-agricole/credit-agricole-vita/" TargetMode="External"/><Relationship Id="rId70" Type="http://schemas.openxmlformats.org/officeDocument/2006/relationships/hyperlink" Target="https://www.ciaoelsa.com/schede-fondo/fondi-pensione-aperti/amundi/amundi-secondapensione/" TargetMode="External"/><Relationship Id="rId75" Type="http://schemas.openxmlformats.org/officeDocument/2006/relationships/hyperlink" Target="https://www.ciaoelsa.com/schede-fondo/fondi-pensione-aperti/groupama/groupama-programma-open/" TargetMode="External"/><Relationship Id="rId83" Type="http://schemas.openxmlformats.org/officeDocument/2006/relationships/hyperlink" Target="https://www.ciaoelsa.com/schede-fondo/fondi-pensione-aperti/hdi/hdi-azione-di-previdenza/" TargetMode="External"/><Relationship Id="rId88" Type="http://schemas.openxmlformats.org/officeDocument/2006/relationships/hyperlink" Target="https://www.ciaoelsa.com/schede-fondo/fondi-pensione-aperti/cnp-unicredit/cnp/" TargetMode="External"/><Relationship Id="rId91" Type="http://schemas.openxmlformats.org/officeDocument/2006/relationships/hyperlink" Target="https://www.ciaoelsa.com/schede-fondo/fondi-pensione-aperti/allianz/allianz-insieme/" TargetMode="External"/><Relationship Id="rId96" Type="http://schemas.openxmlformats.org/officeDocument/2006/relationships/hyperlink" Target="https://www.ciaoelsa.com/schede-fondo/fondi-pensione-aperti/bim-vita/bim-vita/" TargetMode="External"/><Relationship Id="rId1" Type="http://schemas.openxmlformats.org/officeDocument/2006/relationships/hyperlink" Target="https://www.ciaoelsa.com/schede-fondo/fondi-pensione-aperti/allianz/allianz-previdenza/" TargetMode="External"/><Relationship Id="rId6" Type="http://schemas.openxmlformats.org/officeDocument/2006/relationships/hyperlink" Target="https://www.ciaoelsa.com/schede-fondo/fondi-pensione-aperti/axa/axa-previdenza-per-te/" TargetMode="External"/><Relationship Id="rId15" Type="http://schemas.openxmlformats.org/officeDocument/2006/relationships/hyperlink" Target="https://www.ciaoelsa.com/schede-fondo/fondi-pensione-aperti/fideuram/fideuram/" TargetMode="External"/><Relationship Id="rId23" Type="http://schemas.openxmlformats.org/officeDocument/2006/relationships/hyperlink" Target="https://www.ciaoelsa.com/schede-fondo/fondi-pensione-aperti/reale-mutua/reale-mutua-teseo/" TargetMode="External"/><Relationship Id="rId28" Type="http://schemas.openxmlformats.org/officeDocument/2006/relationships/hyperlink" Target="https://www.ciaoelsa.com/schede-fondo/fondi-pensione-aperti/credem/credemprevidenza/" TargetMode="External"/><Relationship Id="rId36" Type="http://schemas.openxmlformats.org/officeDocument/2006/relationships/hyperlink" Target="https://www.ciaoelsa.com/schede-fondo/fondi-pensione-aperti/mediolanum/mediolanum-previgest/" TargetMode="External"/><Relationship Id="rId49" Type="http://schemas.openxmlformats.org/officeDocument/2006/relationships/hyperlink" Target="https://www.ciaoelsa.com/schede-fondo/fondi-pensione-aperti/itas/itas-plurifonds/" TargetMode="External"/><Relationship Id="rId57" Type="http://schemas.openxmlformats.org/officeDocument/2006/relationships/hyperlink" Target="https://www.ciaoelsa.com/schede-fondo/fondi-pensione-aperti/bcc/bcc-aureo/" TargetMode="External"/><Relationship Id="rId10" Type="http://schemas.openxmlformats.org/officeDocument/2006/relationships/hyperlink" Target="https://www.ciaoelsa.com/schede-fondo/fondi-pensione-aperti/axa/axa-previdenza-per-te/" TargetMode="External"/><Relationship Id="rId31" Type="http://schemas.openxmlformats.org/officeDocument/2006/relationships/hyperlink" Target="https://www.ciaoelsa.com/schede-fondo/fondi-pensione-aperti/vittoria-assicurazioni/vittoria-formula-lavoro/" TargetMode="External"/><Relationship Id="rId44" Type="http://schemas.openxmlformats.org/officeDocument/2006/relationships/hyperlink" Target="https://www.ciaoelsa.com/schede-fondo/fondi-pensione-aperti/zurich/zurich-zed-omnifund/" TargetMode="External"/><Relationship Id="rId52" Type="http://schemas.openxmlformats.org/officeDocument/2006/relationships/hyperlink" Target="https://www.ciaoelsa.com/schede-fondo/fondi-pensione-aperti/sella/sella-eurorisparmio/" TargetMode="External"/><Relationship Id="rId60" Type="http://schemas.openxmlformats.org/officeDocument/2006/relationships/hyperlink" Target="https://www.ciaoelsa.com/schede-fondo/fondi-pensione-aperti/credit-agricole/credit-agricole-vita/" TargetMode="External"/><Relationship Id="rId65" Type="http://schemas.openxmlformats.org/officeDocument/2006/relationships/hyperlink" Target="https://www.ciaoelsa.com/schede-fondo/fondi-pensione-aperti/anima/anima-arti-e-mestieri/" TargetMode="External"/><Relationship Id="rId73" Type="http://schemas.openxmlformats.org/officeDocument/2006/relationships/hyperlink" Target="https://www.ciaoelsa.com/schede-fondo/fondi-pensione-aperti/amundi/amundi-secondapensione/" TargetMode="External"/><Relationship Id="rId78" Type="http://schemas.openxmlformats.org/officeDocument/2006/relationships/hyperlink" Target="https://www.ciaoelsa.com/schede-fondo/fondi-pensione-aperti/azimut/azimut-previdenza/" TargetMode="External"/><Relationship Id="rId81" Type="http://schemas.openxmlformats.org/officeDocument/2006/relationships/hyperlink" Target="https://www.ciaoelsa.com/schede-fondo/fondi-pensione-aperti/hdi/hdi-azione-di-previdenza/" TargetMode="External"/><Relationship Id="rId86" Type="http://schemas.openxmlformats.org/officeDocument/2006/relationships/hyperlink" Target="https://www.ciaoelsa.com/schede-fondo/fondi-pensione-aperti/cnp-unicredit/cnp/" TargetMode="External"/><Relationship Id="rId94" Type="http://schemas.openxmlformats.org/officeDocument/2006/relationships/hyperlink" Target="https://www.ciaoelsa.com/schede-fondo/fondi-pensione-aperti/allianz/allianz-insieme/" TargetMode="External"/><Relationship Id="rId99" Type="http://schemas.openxmlformats.org/officeDocument/2006/relationships/hyperlink" Target="https://www.ciaoelsa.com/schede-fondo/fondi-pensione-aperti/assimoco/assimoco-il-melograno/" TargetMode="External"/><Relationship Id="rId101" Type="http://schemas.openxmlformats.org/officeDocument/2006/relationships/hyperlink" Target="https://www.ciaoelsa.com/schede-fondo/fondi-pensione-aperti/assimoco/assimoco-il-melograno/" TargetMode="External"/><Relationship Id="rId4" Type="http://schemas.openxmlformats.org/officeDocument/2006/relationships/hyperlink" Target="https://www.ciaoelsa.com/schede-fondo/fondi-pensione-aperti/allianz/allianz-previdenza/" TargetMode="External"/><Relationship Id="rId9" Type="http://schemas.openxmlformats.org/officeDocument/2006/relationships/hyperlink" Target="https://www.ciaoelsa.com/schede-fondo/fondi-pensione-aperti/axa/axa-previdenza-per-te/" TargetMode="External"/><Relationship Id="rId13" Type="http://schemas.openxmlformats.org/officeDocument/2006/relationships/hyperlink" Target="https://www.ciaoelsa.com/schede-fondo/fondi-pensione-aperti/fideuram/fideuram/" TargetMode="External"/><Relationship Id="rId18" Type="http://schemas.openxmlformats.org/officeDocument/2006/relationships/hyperlink" Target="https://www.ciaoelsa.com/schede-fondo/fondi-pensione-aperti/generali/generali-global/" TargetMode="External"/><Relationship Id="rId39" Type="http://schemas.openxmlformats.org/officeDocument/2006/relationships/hyperlink" Target="https://www.ciaoelsa.com/schede-fondo/fondi-pensione-aperti/zurich/zurich-contribution/" TargetMode="External"/><Relationship Id="rId34" Type="http://schemas.openxmlformats.org/officeDocument/2006/relationships/hyperlink" Target="https://www.ciaoelsa.com/schede-fondo/fondi-pensione-aperti/mediolanum/mediolanum-previgest/" TargetMode="External"/><Relationship Id="rId50" Type="http://schemas.openxmlformats.org/officeDocument/2006/relationships/hyperlink" Target="https://www.ciaoelsa.com/schede-fondo/fondi-pensione-aperti/sella/sella-eurorisparmio/" TargetMode="External"/><Relationship Id="rId55" Type="http://schemas.openxmlformats.org/officeDocument/2006/relationships/hyperlink" Target="https://www.ciaoelsa.com/schede-fondo/fondi-pensione-aperti/bcc/bcc-aureo/" TargetMode="External"/><Relationship Id="rId76" Type="http://schemas.openxmlformats.org/officeDocument/2006/relationships/hyperlink" Target="https://www.ciaoelsa.com/schede-fondo/fondi-pensione-aperti/groupama/groupama-programma-open/" TargetMode="External"/><Relationship Id="rId97" Type="http://schemas.openxmlformats.org/officeDocument/2006/relationships/hyperlink" Target="https://www.ciaoelsa.com/schede-fondo/fondi-pensione-aperti/bim-vita/bim-vita/" TargetMode="External"/><Relationship Id="rId7" Type="http://schemas.openxmlformats.org/officeDocument/2006/relationships/hyperlink" Target="https://www.ciaoelsa.com/schede-fondo/fondi-pensione-aperti/axa/axa-previdenza-per-te/" TargetMode="External"/><Relationship Id="rId71" Type="http://schemas.openxmlformats.org/officeDocument/2006/relationships/hyperlink" Target="https://www.ciaoelsa.com/schede-fondo/fondi-pensione-aperti/amundi/amundi-secondapensione/" TargetMode="External"/><Relationship Id="rId92" Type="http://schemas.openxmlformats.org/officeDocument/2006/relationships/hyperlink" Target="https://www.ciaoelsa.com/schede-fondo/fondi-pensione-aperti/allianz/allianz-insieme/" TargetMode="External"/><Relationship Id="rId2" Type="http://schemas.openxmlformats.org/officeDocument/2006/relationships/hyperlink" Target="https://www.ciaoelsa.com/schede-fondo/fondi-pensione-aperti/allianz/allianz-previdenza/" TargetMode="External"/><Relationship Id="rId29" Type="http://schemas.openxmlformats.org/officeDocument/2006/relationships/hyperlink" Target="https://www.ciaoelsa.com/schede-fondo/fondi-pensione-aperti/credem/credemprevidenza/" TargetMode="External"/><Relationship Id="rId24" Type="http://schemas.openxmlformats.org/officeDocument/2006/relationships/hyperlink" Target="https://www.ciaoelsa.com/schede-fondo/fondi-pensione-aperti/reale-mutua/reale-mutua-teseo/" TargetMode="External"/><Relationship Id="rId40" Type="http://schemas.openxmlformats.org/officeDocument/2006/relationships/hyperlink" Target="https://www.ciaoelsa.com/schede-fondo/fondi-pensione-aperti/zurich/zurich-zed-omnifund/" TargetMode="External"/><Relationship Id="rId45" Type="http://schemas.openxmlformats.org/officeDocument/2006/relationships/hyperlink" Target="https://www.ciaoelsa.com/schede-fondo/fondi-pensione-aperti/itas/itas-plurifonds/" TargetMode="External"/><Relationship Id="rId66" Type="http://schemas.openxmlformats.org/officeDocument/2006/relationships/hyperlink" Target="https://www.ciaoelsa.com/schede-fondo/fondi-pensione-aperti/anima/anima-arti-e-mestieri/" TargetMode="External"/><Relationship Id="rId87" Type="http://schemas.openxmlformats.org/officeDocument/2006/relationships/hyperlink" Target="https://www.ciaoelsa.com/schede-fondo/fondi-pensione-aperti/cnp-unicredit/cnp/" TargetMode="External"/><Relationship Id="rId61" Type="http://schemas.openxmlformats.org/officeDocument/2006/relationships/hyperlink" Target="https://www.ciaoelsa.com/schede-fondo/fondi-pensione-aperti/credit-agricole/credit-agricole-vita/" TargetMode="External"/><Relationship Id="rId82" Type="http://schemas.openxmlformats.org/officeDocument/2006/relationships/hyperlink" Target="https://www.ciaoelsa.com/schede-fondo/fondi-pensione-aperti/hdi/hdi-azione-di-previdenza/" TargetMode="External"/><Relationship Id="rId19" Type="http://schemas.openxmlformats.org/officeDocument/2006/relationships/hyperlink" Target="https://www.ciaoelsa.com/schede-fondo/fondi-pensione-aperti/generali/generali-global/" TargetMode="External"/><Relationship Id="rId14" Type="http://schemas.openxmlformats.org/officeDocument/2006/relationships/hyperlink" Target="https://www.ciaoelsa.com/schede-fondo/fondi-pensione-aperti/fideuram/fideuram/" TargetMode="External"/><Relationship Id="rId30" Type="http://schemas.openxmlformats.org/officeDocument/2006/relationships/hyperlink" Target="https://www.ciaoelsa.com/schede-fondo/fondi-pensione-aperti/vittoria-assicurazioni/vittoria-formula-lavoro/" TargetMode="External"/><Relationship Id="rId35" Type="http://schemas.openxmlformats.org/officeDocument/2006/relationships/hyperlink" Target="https://www.ciaoelsa.com/schede-fondo/fondi-pensione-aperti/mediolanum/mediolanum-previgest/" TargetMode="External"/><Relationship Id="rId56" Type="http://schemas.openxmlformats.org/officeDocument/2006/relationships/hyperlink" Target="https://www.ciaoelsa.com/schede-fondo/fondi-pensione-aperti/bcc/bcc-aureo/" TargetMode="External"/><Relationship Id="rId77" Type="http://schemas.openxmlformats.org/officeDocument/2006/relationships/hyperlink" Target="https://www.ciaoelsa.com/schede-fondo/fondi-pensione-aperti/azimut/azimut-previdenza/" TargetMode="External"/><Relationship Id="rId100" Type="http://schemas.openxmlformats.org/officeDocument/2006/relationships/hyperlink" Target="https://www.ciaoelsa.com/schede-fondo/fondi-pensione-aperti/assimoco/assimoco-il-melograno/" TargetMode="External"/><Relationship Id="rId8" Type="http://schemas.openxmlformats.org/officeDocument/2006/relationships/hyperlink" Target="https://www.ciaoelsa.com/schede-fondo/fondi-pensione-aperti/axa/axa-previdenza-per-te/" TargetMode="External"/><Relationship Id="rId51" Type="http://schemas.openxmlformats.org/officeDocument/2006/relationships/hyperlink" Target="https://www.ciaoelsa.com/schede-fondo/fondi-pensione-aperti/sella/sella-eurorisparmio/" TargetMode="External"/><Relationship Id="rId72" Type="http://schemas.openxmlformats.org/officeDocument/2006/relationships/hyperlink" Target="https://www.ciaoelsa.com/schede-fondo/fondi-pensione-aperti/amundi/amundi-secondapensione/" TargetMode="External"/><Relationship Id="rId93" Type="http://schemas.openxmlformats.org/officeDocument/2006/relationships/hyperlink" Target="https://www.ciaoelsa.com/schede-fondo/fondi-pensione-aperti/allianz/allianz-insieme/" TargetMode="External"/><Relationship Id="rId98" Type="http://schemas.openxmlformats.org/officeDocument/2006/relationships/hyperlink" Target="https://www.ciaoelsa.com/schede-fondo/fondi-pensione-aperti/bim-vita/bim-vita/" TargetMode="External"/><Relationship Id="rId3" Type="http://schemas.openxmlformats.org/officeDocument/2006/relationships/hyperlink" Target="https://www.ciaoelsa.com/schede-fondo/fondi-pensione-aperti/allianz/allianz-previdenz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6" sqref="B26"/>
    </sheetView>
  </sheetViews>
  <sheetFormatPr defaultRowHeight="15" x14ac:dyDescent="0.25"/>
  <cols>
    <col min="1" max="1" width="68.5703125" bestFit="1" customWidth="1"/>
    <col min="2" max="2" width="165.140625" bestFit="1" customWidth="1"/>
    <col min="3" max="3" width="27.28515625" customWidth="1"/>
    <col min="4" max="15" width="16.7109375" customWidth="1"/>
    <col min="16" max="16" width="36.42578125" customWidth="1"/>
    <col min="17" max="17" width="76.42578125" customWidth="1"/>
  </cols>
  <sheetData>
    <row r="1" spans="1:17" s="6" customFormat="1" ht="30" customHeight="1" thickBot="1" x14ac:dyDescent="0.4">
      <c r="A1" s="59"/>
      <c r="B1" s="59"/>
    </row>
    <row r="2" spans="1:17" s="1" customFormat="1" ht="62.1" customHeight="1" x14ac:dyDescent="0.3">
      <c r="A2" s="2" t="s">
        <v>0</v>
      </c>
      <c r="B2" s="3" t="s">
        <v>39</v>
      </c>
      <c r="C2" s="3" t="s">
        <v>183</v>
      </c>
      <c r="D2" s="3" t="s">
        <v>184</v>
      </c>
      <c r="E2" s="3" t="s">
        <v>185</v>
      </c>
      <c r="F2" s="3" t="s">
        <v>186</v>
      </c>
      <c r="G2" s="3" t="s">
        <v>187</v>
      </c>
      <c r="H2" s="3" t="s">
        <v>188</v>
      </c>
      <c r="I2" s="3" t="s">
        <v>189</v>
      </c>
      <c r="J2" s="3" t="s">
        <v>190</v>
      </c>
      <c r="K2" s="3" t="s">
        <v>191</v>
      </c>
      <c r="L2" s="3" t="s">
        <v>192</v>
      </c>
      <c r="M2" s="3" t="s">
        <v>193</v>
      </c>
      <c r="N2" s="3" t="s">
        <v>194</v>
      </c>
      <c r="O2" s="3" t="s">
        <v>195</v>
      </c>
      <c r="P2" s="3" t="s">
        <v>85</v>
      </c>
      <c r="Q2" s="4" t="s">
        <v>86</v>
      </c>
    </row>
    <row r="3" spans="1:17" s="5" customFormat="1" ht="25.5" x14ac:dyDescent="0.25">
      <c r="A3" s="13" t="s">
        <v>1</v>
      </c>
      <c r="B3" s="7" t="s">
        <v>40</v>
      </c>
      <c r="C3" s="8" t="s">
        <v>196</v>
      </c>
      <c r="D3" s="16">
        <v>25</v>
      </c>
      <c r="E3" s="16">
        <v>0</v>
      </c>
      <c r="F3" s="17">
        <v>0</v>
      </c>
      <c r="G3" s="18">
        <v>5</v>
      </c>
      <c r="H3" s="31">
        <f>COUNTIF(Comparti!$A:$A,$A3)</f>
        <v>5</v>
      </c>
      <c r="I3" s="19">
        <f>IF($H3=0,"",_xlfn.MINIFS(Comparti!$H:$H,Comparti!$A:$A,$A3))</f>
        <v>0.01</v>
      </c>
      <c r="J3" s="19">
        <f>IF($H3=0,"",_xlfn.MAXIFS(Comparti!$H:$H,Comparti!$A:$A,$A3))</f>
        <v>1.4500000000000001E-2</v>
      </c>
      <c r="K3" s="19">
        <f>IF($H3=0,"",_xlfn.MAXIFS(Comparti!$D:$D,Comparti!$A:$A,$A3))</f>
        <v>0.9</v>
      </c>
      <c r="L3" s="19">
        <f>IF(COUNTIFS(Comparti!$A:$A,$A3,Comparti!$G:$G,10)=0,"",_xlfn.MAXIFS(Comparti!$F:$F,Comparti!$A:$A,$A3,Comparti!$G:$G,10))</f>
        <v>6.54E-2</v>
      </c>
      <c r="M3" s="18" t="s">
        <v>197</v>
      </c>
      <c r="N3" s="18" t="s">
        <v>198</v>
      </c>
      <c r="O3" s="18" t="s">
        <v>199</v>
      </c>
      <c r="P3" s="7" t="s">
        <v>245</v>
      </c>
      <c r="Q3" s="28" t="s">
        <v>200</v>
      </c>
    </row>
    <row r="4" spans="1:17" s="5" customFormat="1" x14ac:dyDescent="0.25">
      <c r="A4" s="14" t="s">
        <v>2</v>
      </c>
      <c r="B4" s="9" t="s">
        <v>41</v>
      </c>
      <c r="C4" s="10" t="s">
        <v>201</v>
      </c>
      <c r="D4" s="20">
        <v>25</v>
      </c>
      <c r="E4" s="20">
        <v>25</v>
      </c>
      <c r="F4" s="21">
        <v>0</v>
      </c>
      <c r="G4" s="22">
        <v>5</v>
      </c>
      <c r="H4" s="32">
        <f>COUNTIF(Comparti!$A:$A,$A4)</f>
        <v>5</v>
      </c>
      <c r="I4" s="23">
        <f>IF($H4=0,"",_xlfn.MINIFS(Comparti!$H:$H,Comparti!$A:$A,$A4))</f>
        <v>1.0999999999999999E-2</v>
      </c>
      <c r="J4" s="23">
        <f>IF($H4=0,"",_xlfn.MAXIFS(Comparti!$H:$H,Comparti!$A:$A,$A4))</f>
        <v>1.6E-2</v>
      </c>
      <c r="K4" s="23">
        <f>IF($H4=0,"",_xlfn.MAXIFS(Comparti!$D:$D,Comparti!$A:$A,$A4))</f>
        <v>0.82</v>
      </c>
      <c r="L4" s="23">
        <f>IF(COUNTIFS(Comparti!$A:$A,$A4,Comparti!$G:$G,10)=0,"",_xlfn.MAXIFS(Comparti!$F:$F,Comparti!$A:$A,$A4,Comparti!$G:$G,10))</f>
        <v>5.1799999999999999E-2</v>
      </c>
      <c r="M4" s="22" t="s">
        <v>197</v>
      </c>
      <c r="N4" s="22" t="s">
        <v>197</v>
      </c>
      <c r="O4" s="22" t="s">
        <v>202</v>
      </c>
      <c r="P4" s="9" t="s">
        <v>245</v>
      </c>
      <c r="Q4" s="29" t="s">
        <v>203</v>
      </c>
    </row>
    <row r="5" spans="1:17" s="5" customFormat="1" ht="25.5" x14ac:dyDescent="0.25">
      <c r="A5" s="13" t="s">
        <v>3</v>
      </c>
      <c r="B5" s="7" t="s">
        <v>42</v>
      </c>
      <c r="C5" s="8"/>
      <c r="D5" s="16"/>
      <c r="E5" s="16"/>
      <c r="F5" s="17"/>
      <c r="G5" s="18"/>
      <c r="H5" s="31">
        <f>COUNTIF(Comparti!$A:$A,$A5)</f>
        <v>0</v>
      </c>
      <c r="I5" s="19" t="str">
        <f>IF($H5=0,"",_xlfn.MINIFS(Comparti!$H:$H,Comparti!$A:$A,$A5))</f>
        <v/>
      </c>
      <c r="J5" s="19" t="str">
        <f>IF($H5=0,"",_xlfn.MAXIFS(Comparti!$H:$H,Comparti!$A:$A,$A5))</f>
        <v/>
      </c>
      <c r="K5" s="19" t="str">
        <f>IF($H5=0,"",_xlfn.MAXIFS(Comparti!$D:$D,Comparti!$A:$A,$A5))</f>
        <v/>
      </c>
      <c r="L5" s="19" t="str">
        <f>IF(COUNTIFS(Comparti!$A:$A,$A5,Comparti!$G:$G,10)=0,"",_xlfn.MAXIFS(Comparti!$F:$F,Comparti!$A:$A,$A5,Comparti!$G:$G,10))</f>
        <v/>
      </c>
      <c r="M5" s="18"/>
      <c r="N5" s="18"/>
      <c r="O5" s="18"/>
      <c r="P5" s="8"/>
      <c r="Q5" s="28" t="s">
        <v>204</v>
      </c>
    </row>
    <row r="6" spans="1:17" s="5" customFormat="1" ht="25.5" x14ac:dyDescent="0.25">
      <c r="A6" s="14" t="s">
        <v>4</v>
      </c>
      <c r="B6" s="9" t="s">
        <v>43</v>
      </c>
      <c r="C6" s="10" t="s">
        <v>205</v>
      </c>
      <c r="D6" s="20">
        <v>50</v>
      </c>
      <c r="E6" s="20">
        <v>20</v>
      </c>
      <c r="F6" s="21">
        <v>0</v>
      </c>
      <c r="G6" s="22">
        <v>6</v>
      </c>
      <c r="H6" s="32">
        <f>COUNTIF(Comparti!$A:$A,$A6)</f>
        <v>6</v>
      </c>
      <c r="I6" s="23">
        <f>IF($H6=0,"",_xlfn.MINIFS(Comparti!$H:$H,Comparti!$A:$A,$A6))</f>
        <v>0.01</v>
      </c>
      <c r="J6" s="23">
        <f>IF($H6=0,"",_xlfn.MAXIFS(Comparti!$H:$H,Comparti!$A:$A,$A6))</f>
        <v>0.02</v>
      </c>
      <c r="K6" s="23">
        <f>IF($H6=0,"",_xlfn.MAXIFS(Comparti!$D:$D,Comparti!$A:$A,$A6))</f>
        <v>0.94740000000000002</v>
      </c>
      <c r="L6" s="23">
        <f>IF(COUNTIFS(Comparti!$A:$A,$A6,Comparti!$G:$G,10)=0,"",_xlfn.MAXIFS(Comparti!$F:$F,Comparti!$A:$A,$A6,Comparti!$G:$G,10))</f>
        <v>5.0099999999999999E-2</v>
      </c>
      <c r="M6" s="22" t="s">
        <v>198</v>
      </c>
      <c r="N6" s="22" t="s">
        <v>197</v>
      </c>
      <c r="O6" s="22" t="s">
        <v>197</v>
      </c>
      <c r="P6" s="9" t="s">
        <v>245</v>
      </c>
      <c r="Q6" s="29" t="s">
        <v>206</v>
      </c>
    </row>
    <row r="7" spans="1:17" s="5" customFormat="1" ht="25.5" x14ac:dyDescent="0.25">
      <c r="A7" s="13" t="s">
        <v>5</v>
      </c>
      <c r="B7" s="7" t="s">
        <v>44</v>
      </c>
      <c r="C7" s="8" t="s">
        <v>207</v>
      </c>
      <c r="D7" s="16">
        <v>60</v>
      </c>
      <c r="E7" s="16">
        <v>20</v>
      </c>
      <c r="F7" s="17">
        <v>0</v>
      </c>
      <c r="G7" s="18">
        <v>5</v>
      </c>
      <c r="H7" s="31">
        <f>COUNTIF(Comparti!$A:$A,$A7)</f>
        <v>5</v>
      </c>
      <c r="I7" s="19">
        <f>IF($H7=0,"",_xlfn.MINIFS(Comparti!$H:$H,Comparti!$A:$A,$A7))</f>
        <v>8.5000000000000006E-3</v>
      </c>
      <c r="J7" s="19">
        <f>IF($H7=0,"",_xlfn.MAXIFS(Comparti!$H:$H,Comparti!$A:$A,$A7))</f>
        <v>1.4999999999999999E-2</v>
      </c>
      <c r="K7" s="19">
        <f>IF($H7=0,"",_xlfn.MAXIFS(Comparti!$D:$D,Comparti!$A:$A,$A7))</f>
        <v>0.93</v>
      </c>
      <c r="L7" s="19">
        <f>IF(COUNTIFS(Comparti!$A:$A,$A7,Comparti!$G:$G,10)=0,"",_xlfn.MAXIFS(Comparti!$F:$F,Comparti!$A:$A,$A7,Comparti!$G:$G,10))</f>
        <v>5.5899999999999998E-2</v>
      </c>
      <c r="M7" s="18" t="s">
        <v>197</v>
      </c>
      <c r="N7" s="18" t="s">
        <v>197</v>
      </c>
      <c r="O7" s="18" t="s">
        <v>199</v>
      </c>
      <c r="P7" s="7" t="s">
        <v>245</v>
      </c>
      <c r="Q7" s="28" t="s">
        <v>208</v>
      </c>
    </row>
    <row r="8" spans="1:17" s="5" customFormat="1" x14ac:dyDescent="0.25">
      <c r="A8" s="14" t="s">
        <v>6</v>
      </c>
      <c r="B8" s="9" t="s">
        <v>45</v>
      </c>
      <c r="C8" s="10"/>
      <c r="D8" s="20"/>
      <c r="E8" s="20"/>
      <c r="F8" s="21"/>
      <c r="G8" s="22"/>
      <c r="H8" s="32">
        <f>COUNTIF(Comparti!$A:$A,$A8)</f>
        <v>0</v>
      </c>
      <c r="I8" s="23" t="str">
        <f>IF($H8=0,"",_xlfn.MINIFS(Comparti!$H:$H,Comparti!$A:$A,$A8))</f>
        <v/>
      </c>
      <c r="J8" s="23" t="str">
        <f>IF($H8=0,"",_xlfn.MAXIFS(Comparti!$H:$H,Comparti!$A:$A,$A8))</f>
        <v/>
      </c>
      <c r="K8" s="23" t="str">
        <f>IF($H8=0,"",_xlfn.MAXIFS(Comparti!$D:$D,Comparti!$A:$A,$A8))</f>
        <v/>
      </c>
      <c r="L8" s="23" t="str">
        <f>IF(COUNTIFS(Comparti!$A:$A,$A8,Comparti!$G:$G,10)=0,"",_xlfn.MAXIFS(Comparti!$F:$F,Comparti!$A:$A,$A8,Comparti!$G:$G,10))</f>
        <v/>
      </c>
      <c r="M8" s="22"/>
      <c r="N8" s="22"/>
      <c r="O8" s="22"/>
      <c r="P8" s="10"/>
      <c r="Q8" s="29" t="s">
        <v>209</v>
      </c>
    </row>
    <row r="9" spans="1:17" s="5" customFormat="1" ht="25.5" x14ac:dyDescent="0.25">
      <c r="A9" s="13" t="s">
        <v>7</v>
      </c>
      <c r="B9" s="7" t="s">
        <v>46</v>
      </c>
      <c r="C9" s="8" t="s">
        <v>210</v>
      </c>
      <c r="D9" s="16">
        <v>50</v>
      </c>
      <c r="E9" s="16">
        <v>0</v>
      </c>
      <c r="F9" s="17">
        <v>0</v>
      </c>
      <c r="G9" s="18">
        <v>4</v>
      </c>
      <c r="H9" s="31">
        <f>COUNTIF(Comparti!$A:$A,$A9)</f>
        <v>4</v>
      </c>
      <c r="I9" s="19">
        <f>IF($H9=0,"",_xlfn.MINIFS(Comparti!$H:$H,Comparti!$A:$A,$A9))</f>
        <v>6.5000000000000006E-3</v>
      </c>
      <c r="J9" s="19">
        <f>IF($H9=0,"",_xlfn.MAXIFS(Comparti!$H:$H,Comparti!$A:$A,$A9))</f>
        <v>1.4999999999999999E-2</v>
      </c>
      <c r="K9" s="19">
        <f>IF($H9=0,"",_xlfn.MAXIFS(Comparti!$D:$D,Comparti!$A:$A,$A9))</f>
        <v>0.89</v>
      </c>
      <c r="L9" s="19">
        <f>IF(COUNTIFS(Comparti!$A:$A,$A9,Comparti!$G:$G,10)=0,"",_xlfn.MAXIFS(Comparti!$F:$F,Comparti!$A:$A,$A9,Comparti!$G:$G,10))</f>
        <v>4.9799999999999997E-2</v>
      </c>
      <c r="M9" s="18" t="s">
        <v>198</v>
      </c>
      <c r="N9" s="18" t="s">
        <v>197</v>
      </c>
      <c r="O9" s="18" t="s">
        <v>197</v>
      </c>
      <c r="P9" s="7" t="s">
        <v>245</v>
      </c>
      <c r="Q9" s="28" t="s">
        <v>211</v>
      </c>
    </row>
    <row r="10" spans="1:17" s="5" customFormat="1" ht="38.25" x14ac:dyDescent="0.25">
      <c r="A10" s="14" t="s">
        <v>8</v>
      </c>
      <c r="B10" s="9" t="s">
        <v>47</v>
      </c>
      <c r="C10" s="10" t="s">
        <v>212</v>
      </c>
      <c r="D10" s="20">
        <v>50</v>
      </c>
      <c r="E10" s="20">
        <v>15</v>
      </c>
      <c r="F10" s="21">
        <v>0</v>
      </c>
      <c r="G10" s="22">
        <v>4</v>
      </c>
      <c r="H10" s="32">
        <f>COUNTIF(Comparti!$A:$A,$A10)</f>
        <v>4</v>
      </c>
      <c r="I10" s="23">
        <f>IF($H10=0,"",_xlfn.MINIFS(Comparti!$H:$H,Comparti!$A:$A,$A10))</f>
        <v>0.01</v>
      </c>
      <c r="J10" s="23">
        <f>IF($H10=0,"",_xlfn.MAXIFS(Comparti!$H:$H,Comparti!$A:$A,$A10))</f>
        <v>1.4999999999999999E-2</v>
      </c>
      <c r="K10" s="23">
        <f>IF($H10=0,"",_xlfn.MAXIFS(Comparti!$D:$D,Comparti!$A:$A,$A10))</f>
        <v>0.91349999999999998</v>
      </c>
      <c r="L10" s="23">
        <f>IF(COUNTIFS(Comparti!$A:$A,$A10,Comparti!$G:$G,10)=0,"",_xlfn.MAXIFS(Comparti!$F:$F,Comparti!$A:$A,$A10,Comparti!$G:$G,10))</f>
        <v>5.79E-2</v>
      </c>
      <c r="M10" s="22" t="s">
        <v>197</v>
      </c>
      <c r="N10" s="22" t="s">
        <v>198</v>
      </c>
      <c r="O10" s="22" t="s">
        <v>199</v>
      </c>
      <c r="P10" s="9" t="s">
        <v>245</v>
      </c>
      <c r="Q10" s="29" t="s">
        <v>213</v>
      </c>
    </row>
    <row r="11" spans="1:17" s="5" customFormat="1" x14ac:dyDescent="0.25">
      <c r="A11" s="13" t="s">
        <v>9</v>
      </c>
      <c r="B11" s="7" t="s">
        <v>48</v>
      </c>
      <c r="C11" s="8" t="s">
        <v>214</v>
      </c>
      <c r="D11" s="16">
        <v>50</v>
      </c>
      <c r="E11" s="16">
        <v>24</v>
      </c>
      <c r="F11" s="17">
        <v>0</v>
      </c>
      <c r="G11" s="18">
        <v>4</v>
      </c>
      <c r="H11" s="31">
        <f>COUNTIF(Comparti!$A:$A,$A11)</f>
        <v>4</v>
      </c>
      <c r="I11" s="19">
        <f>IF($H11=0,"",_xlfn.MINIFS(Comparti!$H:$H,Comparti!$A:$A,$A11))</f>
        <v>0.01</v>
      </c>
      <c r="J11" s="19">
        <f>IF($H11=0,"",_xlfn.MAXIFS(Comparti!$H:$H,Comparti!$A:$A,$A11))</f>
        <v>1.6799999999999999E-2</v>
      </c>
      <c r="K11" s="19">
        <f>IF($H11=0,"",_xlfn.MAXIFS(Comparti!$D:$D,Comparti!$A:$A,$A11))</f>
        <v>0.81010000000000004</v>
      </c>
      <c r="L11" s="19">
        <f>IF(COUNTIFS(Comparti!$A:$A,$A11,Comparti!$G:$G,10)=0,"",_xlfn.MAXIFS(Comparti!$F:$F,Comparti!$A:$A,$A11,Comparti!$G:$G,10))</f>
        <v>3.8699999999999998E-2</v>
      </c>
      <c r="M11" s="18" t="s">
        <v>197</v>
      </c>
      <c r="N11" s="18" t="s">
        <v>197</v>
      </c>
      <c r="O11" s="18" t="s">
        <v>197</v>
      </c>
      <c r="P11" s="7" t="s">
        <v>245</v>
      </c>
      <c r="Q11" s="28"/>
    </row>
    <row r="12" spans="1:17" s="5" customFormat="1" x14ac:dyDescent="0.25">
      <c r="A12" s="14" t="s">
        <v>10</v>
      </c>
      <c r="B12" s="9" t="s">
        <v>49</v>
      </c>
      <c r="C12" s="10"/>
      <c r="D12" s="20"/>
      <c r="E12" s="20"/>
      <c r="F12" s="21"/>
      <c r="G12" s="22"/>
      <c r="H12" s="32">
        <f>COUNTIF(Comparti!$A:$A,$A12)</f>
        <v>0</v>
      </c>
      <c r="I12" s="23" t="str">
        <f>IF($H12=0,"",_xlfn.MINIFS(Comparti!$H:$H,Comparti!$A:$A,$A12))</f>
        <v/>
      </c>
      <c r="J12" s="23" t="str">
        <f>IF($H12=0,"",_xlfn.MAXIFS(Comparti!$H:$H,Comparti!$A:$A,$A12))</f>
        <v/>
      </c>
      <c r="K12" s="23" t="str">
        <f>IF($H12=0,"",_xlfn.MAXIFS(Comparti!$D:$D,Comparti!$A:$A,$A12))</f>
        <v/>
      </c>
      <c r="L12" s="23" t="str">
        <f>IF(COUNTIFS(Comparti!$A:$A,$A12,Comparti!$G:$G,10)=0,"",_xlfn.MAXIFS(Comparti!$F:$F,Comparti!$A:$A,$A12,Comparti!$G:$G,10))</f>
        <v/>
      </c>
      <c r="M12" s="22"/>
      <c r="N12" s="22"/>
      <c r="O12" s="22"/>
      <c r="P12" s="10"/>
      <c r="Q12" s="29" t="s">
        <v>209</v>
      </c>
    </row>
    <row r="13" spans="1:17" s="5" customFormat="1" x14ac:dyDescent="0.25">
      <c r="A13" s="13" t="s">
        <v>11</v>
      </c>
      <c r="B13" s="7" t="s">
        <v>50</v>
      </c>
      <c r="C13" s="8"/>
      <c r="D13" s="16"/>
      <c r="E13" s="16"/>
      <c r="F13" s="17"/>
      <c r="G13" s="18"/>
      <c r="H13" s="31">
        <f>COUNTIF(Comparti!$A:$A,$A13)</f>
        <v>0</v>
      </c>
      <c r="I13" s="19" t="str">
        <f>IF($H13=0,"",_xlfn.MINIFS(Comparti!$H:$H,Comparti!$A:$A,$A13))</f>
        <v/>
      </c>
      <c r="J13" s="19" t="str">
        <f>IF($H13=0,"",_xlfn.MAXIFS(Comparti!$H:$H,Comparti!$A:$A,$A13))</f>
        <v/>
      </c>
      <c r="K13" s="19" t="str">
        <f>IF($H13=0,"",_xlfn.MAXIFS(Comparti!$D:$D,Comparti!$A:$A,$A13))</f>
        <v/>
      </c>
      <c r="L13" s="19" t="str">
        <f>IF(COUNTIFS(Comparti!$A:$A,$A13,Comparti!$G:$G,10)=0,"",_xlfn.MAXIFS(Comparti!$F:$F,Comparti!$A:$A,$A13,Comparti!$G:$G,10))</f>
        <v/>
      </c>
      <c r="M13" s="18"/>
      <c r="N13" s="18"/>
      <c r="O13" s="18"/>
      <c r="P13" s="8"/>
      <c r="Q13" s="28" t="s">
        <v>209</v>
      </c>
    </row>
    <row r="14" spans="1:17" s="5" customFormat="1" x14ac:dyDescent="0.25">
      <c r="A14" s="14" t="s">
        <v>12</v>
      </c>
      <c r="B14" s="9" t="s">
        <v>51</v>
      </c>
      <c r="C14" s="10"/>
      <c r="D14" s="20"/>
      <c r="E14" s="20"/>
      <c r="F14" s="21"/>
      <c r="G14" s="22"/>
      <c r="H14" s="32">
        <f>COUNTIF(Comparti!$A:$A,$A14)</f>
        <v>0</v>
      </c>
      <c r="I14" s="23" t="str">
        <f>IF($H14=0,"",_xlfn.MINIFS(Comparti!$H:$H,Comparti!$A:$A,$A14))</f>
        <v/>
      </c>
      <c r="J14" s="23" t="str">
        <f>IF($H14=0,"",_xlfn.MAXIFS(Comparti!$H:$H,Comparti!$A:$A,$A14))</f>
        <v/>
      </c>
      <c r="K14" s="23" t="str">
        <f>IF($H14=0,"",_xlfn.MAXIFS(Comparti!$D:$D,Comparti!$A:$A,$A14))</f>
        <v/>
      </c>
      <c r="L14" s="23" t="str">
        <f>IF(COUNTIFS(Comparti!$A:$A,$A14,Comparti!$G:$G,10)=0,"",_xlfn.MAXIFS(Comparti!$F:$F,Comparti!$A:$A,$A14,Comparti!$G:$G,10))</f>
        <v/>
      </c>
      <c r="M14" s="22"/>
      <c r="N14" s="22"/>
      <c r="O14" s="22"/>
      <c r="P14" s="10"/>
      <c r="Q14" s="29" t="s">
        <v>209</v>
      </c>
    </row>
    <row r="15" spans="1:17" s="5" customFormat="1" x14ac:dyDescent="0.25">
      <c r="A15" s="13" t="s">
        <v>13</v>
      </c>
      <c r="B15" s="7" t="s">
        <v>52</v>
      </c>
      <c r="C15" s="8"/>
      <c r="D15" s="16"/>
      <c r="E15" s="16"/>
      <c r="F15" s="17"/>
      <c r="G15" s="18"/>
      <c r="H15" s="31">
        <f>COUNTIF(Comparti!$A:$A,$A15)</f>
        <v>0</v>
      </c>
      <c r="I15" s="19" t="str">
        <f>IF($H15=0,"",_xlfn.MINIFS(Comparti!$H:$H,Comparti!$A:$A,$A15))</f>
        <v/>
      </c>
      <c r="J15" s="19" t="str">
        <f>IF($H15=0,"",_xlfn.MAXIFS(Comparti!$H:$H,Comparti!$A:$A,$A15))</f>
        <v/>
      </c>
      <c r="K15" s="19" t="str">
        <f>IF($H15=0,"",_xlfn.MAXIFS(Comparti!$D:$D,Comparti!$A:$A,$A15))</f>
        <v/>
      </c>
      <c r="L15" s="19" t="str">
        <f>IF(COUNTIFS(Comparti!$A:$A,$A15,Comparti!$G:$G,10)=0,"",_xlfn.MAXIFS(Comparti!$F:$F,Comparti!$A:$A,$A15,Comparti!$G:$G,10))</f>
        <v/>
      </c>
      <c r="M15" s="18"/>
      <c r="N15" s="18"/>
      <c r="O15" s="18"/>
      <c r="P15" s="8"/>
      <c r="Q15" s="28" t="s">
        <v>209</v>
      </c>
    </row>
    <row r="16" spans="1:17" s="5" customFormat="1" x14ac:dyDescent="0.25">
      <c r="A16" s="14" t="s">
        <v>14</v>
      </c>
      <c r="B16" s="9" t="s">
        <v>53</v>
      </c>
      <c r="C16" s="10" t="s">
        <v>215</v>
      </c>
      <c r="D16" s="20">
        <v>0</v>
      </c>
      <c r="E16" s="20">
        <v>20</v>
      </c>
      <c r="F16" s="21">
        <v>0</v>
      </c>
      <c r="G16" s="22">
        <v>3</v>
      </c>
      <c r="H16" s="32">
        <f>COUNTIF(Comparti!$A:$A,$A16)</f>
        <v>3</v>
      </c>
      <c r="I16" s="23">
        <f>IF($H16=0,"",_xlfn.MINIFS(Comparti!$H:$H,Comparti!$A:$A,$A16))</f>
        <v>1.4999999999999999E-2</v>
      </c>
      <c r="J16" s="23">
        <f>IF($H16=0,"",_xlfn.MAXIFS(Comparti!$H:$H,Comparti!$A:$A,$A16))</f>
        <v>0.02</v>
      </c>
      <c r="K16" s="23">
        <f>IF($H16=0,"",_xlfn.MAXIFS(Comparti!$D:$D,Comparti!$A:$A,$A16))</f>
        <v>0.9</v>
      </c>
      <c r="L16" s="23">
        <f>IF(COUNTIFS(Comparti!$A:$A,$A16,Comparti!$G:$G,10)=0,"",_xlfn.MAXIFS(Comparti!$F:$F,Comparti!$A:$A,$A16,Comparti!$G:$G,10))</f>
        <v>4.4699999999999997E-2</v>
      </c>
      <c r="M16" s="22" t="s">
        <v>197</v>
      </c>
      <c r="N16" s="22" t="s">
        <v>197</v>
      </c>
      <c r="O16" s="22" t="s">
        <v>197</v>
      </c>
      <c r="P16" s="9" t="s">
        <v>245</v>
      </c>
      <c r="Q16" s="29" t="s">
        <v>216</v>
      </c>
    </row>
    <row r="17" spans="1:17" s="5" customFormat="1" x14ac:dyDescent="0.25">
      <c r="A17" s="13" t="s">
        <v>15</v>
      </c>
      <c r="B17" s="7" t="s">
        <v>54</v>
      </c>
      <c r="C17" s="8" t="s">
        <v>217</v>
      </c>
      <c r="D17" s="16">
        <v>51.65</v>
      </c>
      <c r="E17" s="16">
        <v>0</v>
      </c>
      <c r="F17" s="17">
        <v>0</v>
      </c>
      <c r="G17" s="18">
        <v>3</v>
      </c>
      <c r="H17" s="31">
        <f>COUNTIF(Comparti!$A:$A,$A17)</f>
        <v>3</v>
      </c>
      <c r="I17" s="19">
        <f>IF($H17=0,"",_xlfn.MINIFS(Comparti!$H:$H,Comparti!$A:$A,$A17))</f>
        <v>9.0000000000000011E-3</v>
      </c>
      <c r="J17" s="19">
        <f>IF($H17=0,"",_xlfn.MAXIFS(Comparti!$H:$H,Comparti!$A:$A,$A17))</f>
        <v>1.0500000000000001E-2</v>
      </c>
      <c r="K17" s="19">
        <f>IF($H17=0,"",_xlfn.MAXIFS(Comparti!$D:$D,Comparti!$A:$A,$A17))</f>
        <v>0.69189999999999996</v>
      </c>
      <c r="L17" s="19">
        <f>IF(COUNTIFS(Comparti!$A:$A,$A17,Comparti!$G:$G,10)=0,"",_xlfn.MAXIFS(Comparti!$F:$F,Comparti!$A:$A,$A17,Comparti!$G:$G,10))</f>
        <v>3.9800000000000002E-2</v>
      </c>
      <c r="M17" s="18" t="s">
        <v>197</v>
      </c>
      <c r="N17" s="18" t="s">
        <v>197</v>
      </c>
      <c r="O17" s="18" t="s">
        <v>197</v>
      </c>
      <c r="P17" s="7" t="s">
        <v>245</v>
      </c>
      <c r="Q17" s="28" t="s">
        <v>218</v>
      </c>
    </row>
    <row r="18" spans="1:17" s="5" customFormat="1" x14ac:dyDescent="0.25">
      <c r="A18" s="14" t="s">
        <v>16</v>
      </c>
      <c r="B18" s="9" t="s">
        <v>55</v>
      </c>
      <c r="C18" s="10" t="s">
        <v>217</v>
      </c>
      <c r="D18" s="20">
        <v>51.65</v>
      </c>
      <c r="E18" s="20">
        <v>30</v>
      </c>
      <c r="F18" s="21">
        <v>0</v>
      </c>
      <c r="G18" s="22">
        <v>5</v>
      </c>
      <c r="H18" s="32">
        <f>COUNTIF(Comparti!$A:$A,$A18)</f>
        <v>5</v>
      </c>
      <c r="I18" s="23">
        <f>IF($H18=0,"",_xlfn.MINIFS(Comparti!$H:$H,Comparti!$A:$A,$A18))</f>
        <v>9.0000000000000011E-3</v>
      </c>
      <c r="J18" s="23">
        <f>IF($H18=0,"",_xlfn.MAXIFS(Comparti!$H:$H,Comparti!$A:$A,$A18))</f>
        <v>2.2200000000000001E-2</v>
      </c>
      <c r="K18" s="23">
        <f>IF($H18=0,"",_xlfn.MAXIFS(Comparti!$D:$D,Comparti!$A:$A,$A18))</f>
        <v>0.92369999999999997</v>
      </c>
      <c r="L18" s="23">
        <f>IF(COUNTIFS(Comparti!$A:$A,$A18,Comparti!$G:$G,10)=0,"",_xlfn.MAXIFS(Comparti!$F:$F,Comparti!$A:$A,$A18,Comparti!$G:$G,10))</f>
        <v>5.0199999999999995E-2</v>
      </c>
      <c r="M18" s="22" t="s">
        <v>197</v>
      </c>
      <c r="N18" s="22" t="s">
        <v>197</v>
      </c>
      <c r="O18" s="22" t="s">
        <v>197</v>
      </c>
      <c r="P18" s="9" t="s">
        <v>245</v>
      </c>
      <c r="Q18" s="29" t="s">
        <v>219</v>
      </c>
    </row>
    <row r="19" spans="1:17" s="5" customFormat="1" x14ac:dyDescent="0.25">
      <c r="A19" s="13" t="s">
        <v>17</v>
      </c>
      <c r="B19" s="7" t="s">
        <v>56</v>
      </c>
      <c r="C19" s="8" t="s">
        <v>220</v>
      </c>
      <c r="D19" s="16">
        <v>25.82</v>
      </c>
      <c r="E19" s="16">
        <v>20.49</v>
      </c>
      <c r="F19" s="17">
        <v>0</v>
      </c>
      <c r="G19" s="18">
        <v>5</v>
      </c>
      <c r="H19" s="31">
        <f>COUNTIF(Comparti!$A:$A,$A19)</f>
        <v>5</v>
      </c>
      <c r="I19" s="19">
        <f>IF($H19=0,"",_xlfn.MINIFS(Comparti!$H:$H,Comparti!$A:$A,$A19))</f>
        <v>8.0000000000000002E-3</v>
      </c>
      <c r="J19" s="19">
        <f>IF($H19=0,"",_xlfn.MAXIFS(Comparti!$H:$H,Comparti!$A:$A,$A19))</f>
        <v>1.4999999999999999E-2</v>
      </c>
      <c r="K19" s="19">
        <f>IF($H19=0,"",_xlfn.MAXIFS(Comparti!$D:$D,Comparti!$A:$A,$A19))</f>
        <v>0.68</v>
      </c>
      <c r="L19" s="19">
        <f>IF(COUNTIFS(Comparti!$A:$A,$A19,Comparti!$G:$G,10)=0,"",_xlfn.MAXIFS(Comparti!$F:$F,Comparti!$A:$A,$A19,Comparti!$G:$G,10))</f>
        <v>4.2500000000000003E-2</v>
      </c>
      <c r="M19" s="18" t="s">
        <v>198</v>
      </c>
      <c r="N19" s="18" t="s">
        <v>197</v>
      </c>
      <c r="O19" s="18" t="s">
        <v>197</v>
      </c>
      <c r="P19" s="7" t="s">
        <v>245</v>
      </c>
      <c r="Q19" s="28" t="s">
        <v>221</v>
      </c>
    </row>
    <row r="20" spans="1:17" s="5" customFormat="1" x14ac:dyDescent="0.25">
      <c r="A20" s="14" t="s">
        <v>18</v>
      </c>
      <c r="B20" s="9" t="s">
        <v>57</v>
      </c>
      <c r="C20" s="10" t="s">
        <v>222</v>
      </c>
      <c r="D20" s="20">
        <v>0</v>
      </c>
      <c r="E20" s="20">
        <v>20</v>
      </c>
      <c r="F20" s="21">
        <v>0</v>
      </c>
      <c r="G20" s="22">
        <v>5</v>
      </c>
      <c r="H20" s="32">
        <f>COUNTIF(Comparti!$A:$A,$A20)</f>
        <v>5</v>
      </c>
      <c r="I20" s="23">
        <f>IF($H20=0,"",_xlfn.MINIFS(Comparti!$H:$H,Comparti!$A:$A,$A20))</f>
        <v>6.0000000000000001E-3</v>
      </c>
      <c r="J20" s="23">
        <f>IF($H20=0,"",_xlfn.MAXIFS(Comparti!$H:$H,Comparti!$A:$A,$A20))</f>
        <v>1.4E-2</v>
      </c>
      <c r="K20" s="23">
        <f>IF($H20=0,"",_xlfn.MAXIFS(Comparti!$D:$D,Comparti!$A:$A,$A20))</f>
        <v>0.76349999999999996</v>
      </c>
      <c r="L20" s="23">
        <f>IF(COUNTIFS(Comparti!$A:$A,$A20,Comparti!$G:$G,10)=0,"",_xlfn.MAXIFS(Comparti!$F:$F,Comparti!$A:$A,$A20,Comparti!$G:$G,10))</f>
        <v>6.0299999999999999E-2</v>
      </c>
      <c r="M20" s="22" t="s">
        <v>198</v>
      </c>
      <c r="N20" s="22" t="s">
        <v>198</v>
      </c>
      <c r="O20" s="22" t="s">
        <v>202</v>
      </c>
      <c r="P20" s="9" t="s">
        <v>245</v>
      </c>
      <c r="Q20" s="29" t="s">
        <v>223</v>
      </c>
    </row>
    <row r="21" spans="1:17" s="5" customFormat="1" ht="38.25" x14ac:dyDescent="0.25">
      <c r="A21" s="13" t="s">
        <v>19</v>
      </c>
      <c r="B21" s="7" t="s">
        <v>58</v>
      </c>
      <c r="C21" s="8" t="s">
        <v>224</v>
      </c>
      <c r="D21" s="16">
        <v>2</v>
      </c>
      <c r="E21" s="16">
        <v>12</v>
      </c>
      <c r="F21" s="17">
        <v>0</v>
      </c>
      <c r="G21" s="18">
        <v>5</v>
      </c>
      <c r="H21" s="31">
        <f>COUNTIF(Comparti!$A:$A,$A21)</f>
        <v>5</v>
      </c>
      <c r="I21" s="19">
        <f>IF($H21=0,"",_xlfn.MINIFS(Comparti!$H:$H,Comparti!$A:$A,$A21))</f>
        <v>5.0000000000000001E-3</v>
      </c>
      <c r="J21" s="19">
        <f>IF($H21=0,"",_xlfn.MAXIFS(Comparti!$H:$H,Comparti!$A:$A,$A21))</f>
        <v>1.4999999999999999E-2</v>
      </c>
      <c r="K21" s="19">
        <f>IF($H21=0,"",_xlfn.MAXIFS(Comparti!$D:$D,Comparti!$A:$A,$A21))</f>
        <v>1</v>
      </c>
      <c r="L21" s="19">
        <f>IF(COUNTIFS(Comparti!$A:$A,$A21,Comparti!$G:$G,10)=0,"",_xlfn.MAXIFS(Comparti!$F:$F,Comparti!$A:$A,$A21,Comparti!$G:$G,10))</f>
        <v>6.1699999999999998E-2</v>
      </c>
      <c r="M21" s="18" t="s">
        <v>198</v>
      </c>
      <c r="N21" s="18" t="s">
        <v>197</v>
      </c>
      <c r="O21" s="18" t="s">
        <v>197</v>
      </c>
      <c r="P21" s="7" t="s">
        <v>245</v>
      </c>
      <c r="Q21" s="28" t="s">
        <v>225</v>
      </c>
    </row>
    <row r="22" spans="1:17" s="5" customFormat="1" x14ac:dyDescent="0.25">
      <c r="A22" s="14" t="s">
        <v>20</v>
      </c>
      <c r="B22" s="9" t="s">
        <v>59</v>
      </c>
      <c r="C22" s="10" t="s">
        <v>226</v>
      </c>
      <c r="D22" s="20">
        <v>0</v>
      </c>
      <c r="E22" s="20">
        <v>20</v>
      </c>
      <c r="F22" s="21">
        <v>0</v>
      </c>
      <c r="G22" s="22">
        <v>3</v>
      </c>
      <c r="H22" s="32">
        <f>COUNTIF(Comparti!$A:$A,$A22)</f>
        <v>3</v>
      </c>
      <c r="I22" s="23">
        <f>IF($H22=0,"",_xlfn.MINIFS(Comparti!$H:$H,Comparti!$A:$A,$A22))</f>
        <v>1.15E-2</v>
      </c>
      <c r="J22" s="23">
        <f>IF($H22=0,"",_xlfn.MAXIFS(Comparti!$H:$H,Comparti!$A:$A,$A22))</f>
        <v>1.4E-2</v>
      </c>
      <c r="K22" s="23">
        <f>IF($H22=0,"",_xlfn.MAXIFS(Comparti!$D:$D,Comparti!$A:$A,$A22))</f>
        <v>0.76639999999999997</v>
      </c>
      <c r="L22" s="23">
        <f>IF(COUNTIFS(Comparti!$A:$A,$A22,Comparti!$G:$G,10)=0,"",_xlfn.MAXIFS(Comparti!$F:$F,Comparti!$A:$A,$A22,Comparti!$G:$G,10))</f>
        <v>5.6900000000000006E-2</v>
      </c>
      <c r="M22" s="22" t="s">
        <v>197</v>
      </c>
      <c r="N22" s="22" t="s">
        <v>197</v>
      </c>
      <c r="O22" s="22" t="s">
        <v>202</v>
      </c>
      <c r="P22" s="9" t="s">
        <v>245</v>
      </c>
      <c r="Q22" s="29" t="s">
        <v>227</v>
      </c>
    </row>
    <row r="23" spans="1:17" s="5" customFormat="1" ht="38.25" x14ac:dyDescent="0.25">
      <c r="A23" s="13" t="s">
        <v>21</v>
      </c>
      <c r="B23" s="7" t="s">
        <v>60</v>
      </c>
      <c r="C23" s="8" t="s">
        <v>228</v>
      </c>
      <c r="D23" s="16">
        <v>30</v>
      </c>
      <c r="E23" s="16">
        <v>12</v>
      </c>
      <c r="F23" s="17">
        <v>0</v>
      </c>
      <c r="G23" s="18">
        <v>6</v>
      </c>
      <c r="H23" s="31">
        <f>COUNTIF(Comparti!$A:$A,$A23)</f>
        <v>6</v>
      </c>
      <c r="I23" s="19">
        <f>IF($H23=0,"",_xlfn.MINIFS(Comparti!$H:$H,Comparti!$A:$A,$A23))</f>
        <v>6.0000000000000001E-3</v>
      </c>
      <c r="J23" s="19">
        <f>IF($H23=0,"",_xlfn.MAXIFS(Comparti!$H:$H,Comparti!$A:$A,$A23))</f>
        <v>1.6E-2</v>
      </c>
      <c r="K23" s="19">
        <f>IF($H23=0,"",_xlfn.MAXIFS(Comparti!$D:$D,Comparti!$A:$A,$A23))</f>
        <v>1</v>
      </c>
      <c r="L23" s="19">
        <f>IF(COUNTIFS(Comparti!$A:$A,$A23,Comparti!$G:$G,10)=0,"",_xlfn.MAXIFS(Comparti!$F:$F,Comparti!$A:$A,$A23,Comparti!$G:$G,10))</f>
        <v>6.0599999999999994E-2</v>
      </c>
      <c r="M23" s="18" t="s">
        <v>198</v>
      </c>
      <c r="N23" s="18" t="s">
        <v>197</v>
      </c>
      <c r="O23" s="18" t="s">
        <v>202</v>
      </c>
      <c r="P23" s="7" t="s">
        <v>245</v>
      </c>
      <c r="Q23" s="28" t="s">
        <v>229</v>
      </c>
    </row>
    <row r="24" spans="1:17" s="5" customFormat="1" ht="25.5" x14ac:dyDescent="0.25">
      <c r="A24" s="14" t="s">
        <v>22</v>
      </c>
      <c r="B24" s="9" t="s">
        <v>61</v>
      </c>
      <c r="C24" s="10" t="s">
        <v>230</v>
      </c>
      <c r="D24" s="20">
        <v>0</v>
      </c>
      <c r="E24" s="20">
        <v>15</v>
      </c>
      <c r="F24" s="21">
        <v>0</v>
      </c>
      <c r="G24" s="22">
        <v>5</v>
      </c>
      <c r="H24" s="32">
        <f>COUNTIF(Comparti!$A:$A,$A24)</f>
        <v>5</v>
      </c>
      <c r="I24" s="23">
        <f>IF($H24=0,"",_xlfn.MINIFS(Comparti!$H:$H,Comparti!$A:$A,$A24))</f>
        <v>6.0000000000000001E-3</v>
      </c>
      <c r="J24" s="23">
        <f>IF($H24=0,"",_xlfn.MAXIFS(Comparti!$H:$H,Comparti!$A:$A,$A24))</f>
        <v>8.0000000000000002E-3</v>
      </c>
      <c r="K24" s="23">
        <f>IF($H24=0,"",_xlfn.MAXIFS(Comparti!$D:$D,Comparti!$A:$A,$A24))</f>
        <v>0.81</v>
      </c>
      <c r="L24" s="23">
        <f>IF(COUNTIFS(Comparti!$A:$A,$A24,Comparti!$G:$G,10)=0,"",_xlfn.MAXIFS(Comparti!$F:$F,Comparti!$A:$A,$A24,Comparti!$G:$G,10))</f>
        <v>5.3600000000000002E-2</v>
      </c>
      <c r="M24" s="22" t="s">
        <v>198</v>
      </c>
      <c r="N24" s="22" t="s">
        <v>198</v>
      </c>
      <c r="O24" s="22" t="s">
        <v>199</v>
      </c>
      <c r="P24" s="9" t="s">
        <v>245</v>
      </c>
      <c r="Q24" s="29" t="s">
        <v>231</v>
      </c>
    </row>
    <row r="25" spans="1:17" s="5" customFormat="1" x14ac:dyDescent="0.25">
      <c r="A25" s="13" t="s">
        <v>23</v>
      </c>
      <c r="B25" s="7" t="s">
        <v>62</v>
      </c>
      <c r="C25" s="8"/>
      <c r="D25" s="16"/>
      <c r="E25" s="16"/>
      <c r="F25" s="17"/>
      <c r="G25" s="18"/>
      <c r="H25" s="31">
        <f>COUNTIF(Comparti!$A:$A,$A25)</f>
        <v>0</v>
      </c>
      <c r="I25" s="19" t="str">
        <f>IF($H25=0,"",_xlfn.MINIFS(Comparti!$H:$H,Comparti!$A:$A,$A25))</f>
        <v/>
      </c>
      <c r="J25" s="19" t="str">
        <f>IF($H25=0,"",_xlfn.MAXIFS(Comparti!$H:$H,Comparti!$A:$A,$A25))</f>
        <v/>
      </c>
      <c r="K25" s="19" t="str">
        <f>IF($H25=0,"",_xlfn.MAXIFS(Comparti!$D:$D,Comparti!$A:$A,$A25))</f>
        <v/>
      </c>
      <c r="L25" s="19" t="str">
        <f>IF(COUNTIFS(Comparti!$A:$A,$A25,Comparti!$G:$G,10)=0,"",_xlfn.MAXIFS(Comparti!$F:$F,Comparti!$A:$A,$A25,Comparti!$G:$G,10))</f>
        <v/>
      </c>
      <c r="M25" s="18"/>
      <c r="N25" s="18"/>
      <c r="O25" s="18"/>
      <c r="P25" s="8"/>
      <c r="Q25" s="28" t="s">
        <v>209</v>
      </c>
    </row>
    <row r="26" spans="1:17" s="5" customFormat="1" ht="25.5" x14ac:dyDescent="0.25">
      <c r="A26" s="14" t="s">
        <v>24</v>
      </c>
      <c r="B26" s="9" t="s">
        <v>63</v>
      </c>
      <c r="C26" s="10" t="s">
        <v>232</v>
      </c>
      <c r="D26" s="20">
        <v>50</v>
      </c>
      <c r="E26" s="20">
        <v>30</v>
      </c>
      <c r="F26" s="21">
        <v>0</v>
      </c>
      <c r="G26" s="22">
        <v>3</v>
      </c>
      <c r="H26" s="32">
        <f>COUNTIF(Comparti!$A:$A,$A26)</f>
        <v>3</v>
      </c>
      <c r="I26" s="23">
        <f>IF($H26=0,"",_xlfn.MINIFS(Comparti!$H:$H,Comparti!$A:$A,$A26))</f>
        <v>1.2999999999999999E-2</v>
      </c>
      <c r="J26" s="23">
        <f>IF($H26=0,"",_xlfn.MAXIFS(Comparti!$H:$H,Comparti!$A:$A,$A26))</f>
        <v>1.4999999999999999E-2</v>
      </c>
      <c r="K26" s="23">
        <f>IF($H26=0,"",_xlfn.MAXIFS(Comparti!$D:$D,Comparti!$A:$A,$A26))</f>
        <v>0.56000000000000005</v>
      </c>
      <c r="L26" s="23">
        <f>IF(COUNTIFS(Comparti!$A:$A,$A26,Comparti!$G:$G,10)=0,"",_xlfn.MAXIFS(Comparti!$F:$F,Comparti!$A:$A,$A26,Comparti!$G:$G,10))</f>
        <v>3.9199999999999999E-2</v>
      </c>
      <c r="M26" s="22" t="s">
        <v>198</v>
      </c>
      <c r="N26" s="22" t="s">
        <v>197</v>
      </c>
      <c r="O26" s="22" t="s">
        <v>197</v>
      </c>
      <c r="P26" s="9" t="s">
        <v>245</v>
      </c>
      <c r="Q26" s="29" t="s">
        <v>233</v>
      </c>
    </row>
    <row r="27" spans="1:17" s="5" customFormat="1" x14ac:dyDescent="0.25">
      <c r="A27" s="13" t="s">
        <v>25</v>
      </c>
      <c r="B27" s="7" t="s">
        <v>64</v>
      </c>
      <c r="C27" s="8"/>
      <c r="D27" s="16"/>
      <c r="E27" s="16"/>
      <c r="F27" s="17"/>
      <c r="G27" s="18"/>
      <c r="H27" s="31">
        <f>COUNTIF(Comparti!$A:$A,$A27)</f>
        <v>0</v>
      </c>
      <c r="I27" s="19" t="str">
        <f>IF($H27=0,"",_xlfn.MINIFS(Comparti!$H:$H,Comparti!$A:$A,$A27))</f>
        <v/>
      </c>
      <c r="J27" s="19" t="str">
        <f>IF($H27=0,"",_xlfn.MAXIFS(Comparti!$H:$H,Comparti!$A:$A,$A27))</f>
        <v/>
      </c>
      <c r="K27" s="19" t="str">
        <f>IF($H27=0,"",_xlfn.MAXIFS(Comparti!$D:$D,Comparti!$A:$A,$A27))</f>
        <v/>
      </c>
      <c r="L27" s="19" t="str">
        <f>IF(COUNTIFS(Comparti!$A:$A,$A27,Comparti!$G:$G,10)=0,"",_xlfn.MAXIFS(Comparti!$F:$F,Comparti!$A:$A,$A27,Comparti!$G:$G,10))</f>
        <v/>
      </c>
      <c r="M27" s="18"/>
      <c r="N27" s="18"/>
      <c r="O27" s="18"/>
      <c r="P27" s="8"/>
      <c r="Q27" s="28" t="s">
        <v>209</v>
      </c>
    </row>
    <row r="28" spans="1:17" s="5" customFormat="1" x14ac:dyDescent="0.25">
      <c r="A28" s="14" t="s">
        <v>26</v>
      </c>
      <c r="B28" s="9" t="s">
        <v>65</v>
      </c>
      <c r="C28" s="10" t="s">
        <v>234</v>
      </c>
      <c r="D28" s="20">
        <v>10</v>
      </c>
      <c r="E28" s="20">
        <v>30</v>
      </c>
      <c r="F28" s="21">
        <v>0</v>
      </c>
      <c r="G28" s="22">
        <v>3</v>
      </c>
      <c r="H28" s="32">
        <f>COUNTIF(Comparti!$A:$A,$A28)</f>
        <v>3</v>
      </c>
      <c r="I28" s="23">
        <f>IF($H28=0,"",_xlfn.MINIFS(Comparti!$H:$H,Comparti!$A:$A,$A28))</f>
        <v>0.01</v>
      </c>
      <c r="J28" s="23">
        <f>IF($H28=0,"",_xlfn.MAXIFS(Comparti!$H:$H,Comparti!$A:$A,$A28))</f>
        <v>1.8000000000000002E-2</v>
      </c>
      <c r="K28" s="23">
        <f>IF($H28=0,"",_xlfn.MAXIFS(Comparti!$D:$D,Comparti!$A:$A,$A28))</f>
        <v>0.86</v>
      </c>
      <c r="L28" s="23">
        <f>IF(COUNTIFS(Comparti!$A:$A,$A28,Comparti!$G:$G,10)=0,"",_xlfn.MAXIFS(Comparti!$F:$F,Comparti!$A:$A,$A28,Comparti!$G:$G,10))</f>
        <v>3.3799999999999997E-2</v>
      </c>
      <c r="M28" s="22" t="s">
        <v>197</v>
      </c>
      <c r="N28" s="22" t="s">
        <v>197</v>
      </c>
      <c r="O28" s="22" t="s">
        <v>202</v>
      </c>
      <c r="P28" s="9" t="s">
        <v>245</v>
      </c>
      <c r="Q28" s="29" t="s">
        <v>235</v>
      </c>
    </row>
    <row r="29" spans="1:17" s="5" customFormat="1" x14ac:dyDescent="0.25">
      <c r="A29" s="13" t="s">
        <v>27</v>
      </c>
      <c r="B29" s="7" t="s">
        <v>66</v>
      </c>
      <c r="C29" s="8" t="s">
        <v>236</v>
      </c>
      <c r="D29" s="16">
        <v>20</v>
      </c>
      <c r="E29" s="16">
        <v>20</v>
      </c>
      <c r="F29" s="17">
        <v>0</v>
      </c>
      <c r="G29" s="18">
        <v>4</v>
      </c>
      <c r="H29" s="31">
        <f>COUNTIF(Comparti!$A:$A,$A29)</f>
        <v>4</v>
      </c>
      <c r="I29" s="19">
        <f>IF($H29=0,"",_xlfn.MINIFS(Comparti!$H:$H,Comparti!$A:$A,$A29))</f>
        <v>6.9999999999999993E-3</v>
      </c>
      <c r="J29" s="19">
        <f>IF($H29=0,"",_xlfn.MAXIFS(Comparti!$H:$H,Comparti!$A:$A,$A29))</f>
        <v>1.8000000000000002E-2</v>
      </c>
      <c r="K29" s="19">
        <f>IF($H29=0,"",_xlfn.MAXIFS(Comparti!$D:$D,Comparti!$A:$A,$A29))</f>
        <v>0.86</v>
      </c>
      <c r="L29" s="19">
        <f>IF(COUNTIFS(Comparti!$A:$A,$A29,Comparti!$G:$G,10)=0,"",_xlfn.MAXIFS(Comparti!$F:$F,Comparti!$A:$A,$A29,Comparti!$G:$G,10))</f>
        <v>5.2900000000000003E-2</v>
      </c>
      <c r="M29" s="18" t="s">
        <v>198</v>
      </c>
      <c r="N29" s="18" t="s">
        <v>197</v>
      </c>
      <c r="O29" s="18" t="s">
        <v>202</v>
      </c>
      <c r="P29" s="7" t="s">
        <v>245</v>
      </c>
      <c r="Q29" s="28" t="s">
        <v>237</v>
      </c>
    </row>
    <row r="30" spans="1:17" s="5" customFormat="1" x14ac:dyDescent="0.25">
      <c r="A30" s="14" t="s">
        <v>28</v>
      </c>
      <c r="B30" s="9" t="s">
        <v>67</v>
      </c>
      <c r="C30" s="10" t="s">
        <v>238</v>
      </c>
      <c r="D30" s="20">
        <v>0</v>
      </c>
      <c r="E30" s="20">
        <v>25</v>
      </c>
      <c r="F30" s="21">
        <v>0</v>
      </c>
      <c r="G30" s="22">
        <v>5</v>
      </c>
      <c r="H30" s="32">
        <f>COUNTIF(Comparti!$A:$A,$A30)</f>
        <v>5</v>
      </c>
      <c r="I30" s="23">
        <f>IF($H30=0,"",_xlfn.MINIFS(Comparti!$H:$H,Comparti!$A:$A,$A30))</f>
        <v>9.0000000000000011E-3</v>
      </c>
      <c r="J30" s="23">
        <f>IF($H30=0,"",_xlfn.MAXIFS(Comparti!$H:$H,Comparti!$A:$A,$A30))</f>
        <v>1.2999999999999999E-2</v>
      </c>
      <c r="K30" s="23">
        <f>IF($H30=0,"",_xlfn.MAXIFS(Comparti!$D:$D,Comparti!$A:$A,$A30))</f>
        <v>0.95</v>
      </c>
      <c r="L30" s="23">
        <f>IF(COUNTIFS(Comparti!$A:$A,$A30,Comparti!$G:$G,10)=0,"",_xlfn.MAXIFS(Comparti!$F:$F,Comparti!$A:$A,$A30,Comparti!$G:$G,10))</f>
        <v>3.95E-2</v>
      </c>
      <c r="M30" s="22" t="s">
        <v>197</v>
      </c>
      <c r="N30" s="22" t="s">
        <v>197</v>
      </c>
      <c r="O30" s="22" t="s">
        <v>197</v>
      </c>
      <c r="P30" s="9" t="s">
        <v>245</v>
      </c>
      <c r="Q30" s="29" t="s">
        <v>239</v>
      </c>
    </row>
    <row r="31" spans="1:17" s="5" customFormat="1" ht="38.25" x14ac:dyDescent="0.25">
      <c r="A31" s="13" t="s">
        <v>29</v>
      </c>
      <c r="B31" s="7" t="s">
        <v>68</v>
      </c>
      <c r="C31" s="8" t="s">
        <v>196</v>
      </c>
      <c r="D31" s="16">
        <v>100</v>
      </c>
      <c r="E31" s="16">
        <v>0</v>
      </c>
      <c r="F31" s="17">
        <v>0</v>
      </c>
      <c r="G31" s="18">
        <v>6</v>
      </c>
      <c r="H31" s="31">
        <f>COUNTIF(Comparti!$A:$A,$A31)</f>
        <v>6</v>
      </c>
      <c r="I31" s="19">
        <f>IF($H31=0,"",_xlfn.MINIFS(Comparti!$H:$H,Comparti!$A:$A,$A31))</f>
        <v>5.5000000000000005E-3</v>
      </c>
      <c r="J31" s="19">
        <f>IF($H31=0,"",_xlfn.MAXIFS(Comparti!$H:$H,Comparti!$A:$A,$A31))</f>
        <v>8.0000000000000002E-3</v>
      </c>
      <c r="K31" s="19">
        <f>IF($H31=0,"",_xlfn.MAXIFS(Comparti!$D:$D,Comparti!$A:$A,$A31))</f>
        <v>0.94</v>
      </c>
      <c r="L31" s="19">
        <f>IF(COUNTIFS(Comparti!$A:$A,$A31,Comparti!$G:$G,10)=0,"",_xlfn.MAXIFS(Comparti!$F:$F,Comparti!$A:$A,$A31,Comparti!$G:$G,10))</f>
        <v>7.4800000000000005E-2</v>
      </c>
      <c r="M31" s="18" t="s">
        <v>197</v>
      </c>
      <c r="N31" s="18" t="s">
        <v>198</v>
      </c>
      <c r="O31" s="18" t="s">
        <v>199</v>
      </c>
      <c r="P31" s="7" t="s">
        <v>245</v>
      </c>
      <c r="Q31" s="28" t="s">
        <v>240</v>
      </c>
    </row>
    <row r="32" spans="1:17" s="5" customFormat="1" ht="25.5" x14ac:dyDescent="0.25">
      <c r="A32" s="14" t="s">
        <v>30</v>
      </c>
      <c r="B32" s="9" t="s">
        <v>69</v>
      </c>
      <c r="C32" s="10" t="s">
        <v>241</v>
      </c>
      <c r="D32" s="20">
        <v>0</v>
      </c>
      <c r="E32" s="20">
        <v>0</v>
      </c>
      <c r="F32" s="21">
        <v>0</v>
      </c>
      <c r="G32" s="22">
        <v>4</v>
      </c>
      <c r="H32" s="32">
        <f>COUNTIF(Comparti!$A:$A,$A32)</f>
        <v>4</v>
      </c>
      <c r="I32" s="23">
        <f>IF($H32=0,"",_xlfn.MINIFS(Comparti!$H:$H,Comparti!$A:$A,$A32))</f>
        <v>0.01</v>
      </c>
      <c r="J32" s="23">
        <f>IF($H32=0,"",_xlfn.MAXIFS(Comparti!$H:$H,Comparti!$A:$A,$A32))</f>
        <v>1.8000000000000002E-2</v>
      </c>
      <c r="K32" s="23">
        <f>IF($H32=0,"",_xlfn.MAXIFS(Comparti!$D:$D,Comparti!$A:$A,$A32))</f>
        <v>0.83239999999999992</v>
      </c>
      <c r="L32" s="23">
        <f>IF(COUNTIFS(Comparti!$A:$A,$A32,Comparti!$G:$G,10)=0,"",_xlfn.MAXIFS(Comparti!$F:$F,Comparti!$A:$A,$A32,Comparti!$G:$G,10))</f>
        <v>5.0199999999999995E-2</v>
      </c>
      <c r="M32" s="22" t="s">
        <v>197</v>
      </c>
      <c r="N32" s="22" t="s">
        <v>197</v>
      </c>
      <c r="O32" s="22" t="s">
        <v>202</v>
      </c>
      <c r="P32" s="9" t="s">
        <v>245</v>
      </c>
      <c r="Q32" s="29" t="s">
        <v>242</v>
      </c>
    </row>
    <row r="33" spans="1:17" s="5" customFormat="1" x14ac:dyDescent="0.25">
      <c r="A33" s="13" t="s">
        <v>31</v>
      </c>
      <c r="B33" s="7" t="s">
        <v>70</v>
      </c>
      <c r="C33" s="8"/>
      <c r="D33" s="16"/>
      <c r="E33" s="16"/>
      <c r="F33" s="17"/>
      <c r="G33" s="18"/>
      <c r="H33" s="31">
        <f>COUNTIF(Comparti!$A:$A,$A33)</f>
        <v>0</v>
      </c>
      <c r="I33" s="19" t="str">
        <f>IF($H33=0,"",_xlfn.MINIFS(Comparti!$H:$H,Comparti!$A:$A,$A33))</f>
        <v/>
      </c>
      <c r="J33" s="19" t="str">
        <f>IF($H33=0,"",_xlfn.MAXIFS(Comparti!$H:$H,Comparti!$A:$A,$A33))</f>
        <v/>
      </c>
      <c r="K33" s="19" t="str">
        <f>IF($H33=0,"",_xlfn.MAXIFS(Comparti!$D:$D,Comparti!$A:$A,$A33))</f>
        <v/>
      </c>
      <c r="L33" s="19" t="str">
        <f>IF(COUNTIFS(Comparti!$A:$A,$A33,Comparti!$G:$G,10)=0,"",_xlfn.MAXIFS(Comparti!$F:$F,Comparti!$A:$A,$A33,Comparti!$G:$G,10))</f>
        <v/>
      </c>
      <c r="M33" s="18"/>
      <c r="N33" s="18"/>
      <c r="O33" s="18"/>
      <c r="P33" s="8"/>
      <c r="Q33" s="28" t="s">
        <v>209</v>
      </c>
    </row>
    <row r="34" spans="1:17" s="5" customFormat="1" x14ac:dyDescent="0.25">
      <c r="A34" s="14" t="s">
        <v>32</v>
      </c>
      <c r="B34" s="9" t="s">
        <v>71</v>
      </c>
      <c r="C34" s="10"/>
      <c r="D34" s="20"/>
      <c r="E34" s="20"/>
      <c r="F34" s="21"/>
      <c r="G34" s="22"/>
      <c r="H34" s="32">
        <f>COUNTIF(Comparti!$A:$A,$A34)</f>
        <v>0</v>
      </c>
      <c r="I34" s="23" t="str">
        <f>IF($H34=0,"",_xlfn.MINIFS(Comparti!$H:$H,Comparti!$A:$A,$A34))</f>
        <v/>
      </c>
      <c r="J34" s="23" t="str">
        <f>IF($H34=0,"",_xlfn.MAXIFS(Comparti!$H:$H,Comparti!$A:$A,$A34))</f>
        <v/>
      </c>
      <c r="K34" s="23" t="str">
        <f>IF($H34=0,"",_xlfn.MAXIFS(Comparti!$D:$D,Comparti!$A:$A,$A34))</f>
        <v/>
      </c>
      <c r="L34" s="23" t="str">
        <f>IF(COUNTIFS(Comparti!$A:$A,$A34,Comparti!$G:$G,10)=0,"",_xlfn.MAXIFS(Comparti!$F:$F,Comparti!$A:$A,$A34,Comparti!$G:$G,10))</f>
        <v/>
      </c>
      <c r="M34" s="22"/>
      <c r="N34" s="22"/>
      <c r="O34" s="22"/>
      <c r="P34" s="10"/>
      <c r="Q34" s="29" t="s">
        <v>209</v>
      </c>
    </row>
    <row r="35" spans="1:17" s="5" customFormat="1" x14ac:dyDescent="0.25">
      <c r="A35" s="13" t="s">
        <v>33</v>
      </c>
      <c r="B35" s="7" t="s">
        <v>72</v>
      </c>
      <c r="C35" s="8" t="s">
        <v>243</v>
      </c>
      <c r="D35" s="16">
        <v>25</v>
      </c>
      <c r="E35" s="16">
        <v>0</v>
      </c>
      <c r="F35" s="17">
        <v>5.0000000000000001E-3</v>
      </c>
      <c r="G35" s="18">
        <v>4</v>
      </c>
      <c r="H35" s="31">
        <f>COUNTIF(Comparti!$A:$A,$A35)</f>
        <v>4</v>
      </c>
      <c r="I35" s="19">
        <f>IF($H35=0,"",_xlfn.MINIFS(Comparti!$H:$H,Comparti!$A:$A,$A35))</f>
        <v>8.0000000000000002E-3</v>
      </c>
      <c r="J35" s="19">
        <f>IF($H35=0,"",_xlfn.MAXIFS(Comparti!$H:$H,Comparti!$A:$A,$A35))</f>
        <v>1.4E-2</v>
      </c>
      <c r="K35" s="19">
        <f>IF($H35=0,"",_xlfn.MAXIFS(Comparti!$D:$D,Comparti!$A:$A,$A35))</f>
        <v>0.85</v>
      </c>
      <c r="L35" s="19">
        <f>IF(COUNTIFS(Comparti!$A:$A,$A35,Comparti!$G:$G,10)=0,"",_xlfn.MAXIFS(Comparti!$F:$F,Comparti!$A:$A,$A35,Comparti!$G:$G,10))</f>
        <v>4.6300000000000001E-2</v>
      </c>
      <c r="M35" s="18" t="s">
        <v>197</v>
      </c>
      <c r="N35" s="18" t="s">
        <v>197</v>
      </c>
      <c r="O35" s="18" t="s">
        <v>197</v>
      </c>
      <c r="P35" s="7" t="s">
        <v>245</v>
      </c>
      <c r="Q35" s="28" t="s">
        <v>244</v>
      </c>
    </row>
    <row r="36" spans="1:17" s="5" customFormat="1" x14ac:dyDescent="0.25">
      <c r="A36" s="14" t="s">
        <v>34</v>
      </c>
      <c r="B36" s="9" t="s">
        <v>73</v>
      </c>
      <c r="C36" s="10"/>
      <c r="D36" s="20"/>
      <c r="E36" s="20"/>
      <c r="F36" s="21"/>
      <c r="G36" s="22"/>
      <c r="H36" s="32">
        <f>COUNTIF(Comparti!$A:$A,$A36)</f>
        <v>0</v>
      </c>
      <c r="I36" s="23" t="str">
        <f>IF($H36=0,"",_xlfn.MINIFS(Comparti!$H:$H,Comparti!$A:$A,$A36))</f>
        <v/>
      </c>
      <c r="J36" s="23" t="str">
        <f>IF($H36=0,"",_xlfn.MAXIFS(Comparti!$H:$H,Comparti!$A:$A,$A36))</f>
        <v/>
      </c>
      <c r="K36" s="23" t="str">
        <f>IF($H36=0,"",_xlfn.MAXIFS(Comparti!$D:$D,Comparti!$A:$A,$A36))</f>
        <v/>
      </c>
      <c r="L36" s="23" t="str">
        <f>IF(COUNTIFS(Comparti!$A:$A,$A36,Comparti!$G:$G,10)=0,"",_xlfn.MAXIFS(Comparti!$F:$F,Comparti!$A:$A,$A36,Comparti!$G:$G,10))</f>
        <v/>
      </c>
      <c r="M36" s="22"/>
      <c r="N36" s="22"/>
      <c r="O36" s="22"/>
      <c r="P36" s="10"/>
      <c r="Q36" s="29" t="s">
        <v>209</v>
      </c>
    </row>
    <row r="37" spans="1:17" s="5" customFormat="1" x14ac:dyDescent="0.25">
      <c r="A37" s="13" t="s">
        <v>35</v>
      </c>
      <c r="B37" s="7" t="s">
        <v>74</v>
      </c>
      <c r="C37" s="8"/>
      <c r="D37" s="16"/>
      <c r="E37" s="16"/>
      <c r="F37" s="17"/>
      <c r="G37" s="18"/>
      <c r="H37" s="31">
        <f>COUNTIF(Comparti!$A:$A,$A37)</f>
        <v>0</v>
      </c>
      <c r="I37" s="19" t="str">
        <f>IF($H37=0,"",_xlfn.MINIFS(Comparti!$H:$H,Comparti!$A:$A,$A37))</f>
        <v/>
      </c>
      <c r="J37" s="19" t="str">
        <f>IF($H37=0,"",_xlfn.MAXIFS(Comparti!$H:$H,Comparti!$A:$A,$A37))</f>
        <v/>
      </c>
      <c r="K37" s="19" t="str">
        <f>IF($H37=0,"",_xlfn.MAXIFS(Comparti!$D:$D,Comparti!$A:$A,$A37))</f>
        <v/>
      </c>
      <c r="L37" s="19" t="str">
        <f>IF(COUNTIFS(Comparti!$A:$A,$A37,Comparti!$G:$G,10)=0,"",_xlfn.MAXIFS(Comparti!$F:$F,Comparti!$A:$A,$A37,Comparti!$G:$G,10))</f>
        <v/>
      </c>
      <c r="M37" s="18"/>
      <c r="N37" s="18"/>
      <c r="O37" s="18"/>
      <c r="P37" s="8"/>
      <c r="Q37" s="28" t="s">
        <v>209</v>
      </c>
    </row>
    <row r="38" spans="1:17" s="5" customFormat="1" x14ac:dyDescent="0.25">
      <c r="A38" s="14" t="s">
        <v>36</v>
      </c>
      <c r="B38" s="9" t="s">
        <v>75</v>
      </c>
      <c r="C38" s="10"/>
      <c r="D38" s="20"/>
      <c r="E38" s="20"/>
      <c r="F38" s="21"/>
      <c r="G38" s="22"/>
      <c r="H38" s="32">
        <f>COUNTIF(Comparti!$A:$A,$A38)</f>
        <v>0</v>
      </c>
      <c r="I38" s="23" t="str">
        <f>IF($H38=0,"",_xlfn.MINIFS(Comparti!$H:$H,Comparti!$A:$A,$A38))</f>
        <v/>
      </c>
      <c r="J38" s="23" t="str">
        <f>IF($H38=0,"",_xlfn.MAXIFS(Comparti!$H:$H,Comparti!$A:$A,$A38))</f>
        <v/>
      </c>
      <c r="K38" s="23" t="str">
        <f>IF($H38=0,"",_xlfn.MAXIFS(Comparti!$D:$D,Comparti!$A:$A,$A38))</f>
        <v/>
      </c>
      <c r="L38" s="23" t="str">
        <f>IF(COUNTIFS(Comparti!$A:$A,$A38,Comparti!$G:$G,10)=0,"",_xlfn.MAXIFS(Comparti!$F:$F,Comparti!$A:$A,$A38,Comparti!$G:$G,10))</f>
        <v/>
      </c>
      <c r="M38" s="22"/>
      <c r="N38" s="22"/>
      <c r="O38" s="22"/>
      <c r="P38" s="10"/>
      <c r="Q38" s="29" t="s">
        <v>209</v>
      </c>
    </row>
    <row r="39" spans="1:17" s="5" customFormat="1" x14ac:dyDescent="0.25">
      <c r="A39" s="13" t="s">
        <v>37</v>
      </c>
      <c r="B39" s="7" t="s">
        <v>76</v>
      </c>
      <c r="C39" s="8"/>
      <c r="D39" s="16"/>
      <c r="E39" s="16"/>
      <c r="F39" s="17"/>
      <c r="G39" s="18"/>
      <c r="H39" s="31">
        <f>COUNTIF(Comparti!$A:$A,$A39)</f>
        <v>0</v>
      </c>
      <c r="I39" s="19" t="str">
        <f>IF($H39=0,"",_xlfn.MINIFS(Comparti!$H:$H,Comparti!$A:$A,$A39))</f>
        <v/>
      </c>
      <c r="J39" s="19" t="str">
        <f>IF($H39=0,"",_xlfn.MAXIFS(Comparti!$H:$H,Comparti!$A:$A,$A39))</f>
        <v/>
      </c>
      <c r="K39" s="19" t="str">
        <f>IF($H39=0,"",_xlfn.MAXIFS(Comparti!$D:$D,Comparti!$A:$A,$A39))</f>
        <v/>
      </c>
      <c r="L39" s="19" t="str">
        <f>IF(COUNTIFS(Comparti!$A:$A,$A39,Comparti!$G:$G,10)=0,"",_xlfn.MAXIFS(Comparti!$F:$F,Comparti!$A:$A,$A39,Comparti!$G:$G,10))</f>
        <v/>
      </c>
      <c r="M39" s="18"/>
      <c r="N39" s="18"/>
      <c r="O39" s="18"/>
      <c r="P39" s="8"/>
      <c r="Q39" s="28" t="s">
        <v>209</v>
      </c>
    </row>
    <row r="40" spans="1:17" s="5" customFormat="1" ht="15.75" thickBot="1" x14ac:dyDescent="0.3">
      <c r="A40" s="15" t="s">
        <v>38</v>
      </c>
      <c r="B40" s="11" t="s">
        <v>65</v>
      </c>
      <c r="C40" s="12"/>
      <c r="D40" s="24"/>
      <c r="E40" s="24"/>
      <c r="F40" s="25"/>
      <c r="G40" s="26"/>
      <c r="H40" s="33">
        <f>COUNTIF(Comparti!$A:$A,$A40)</f>
        <v>0</v>
      </c>
      <c r="I40" s="27" t="str">
        <f>IF($H40=0,"",_xlfn.MINIFS(Comparti!$H:$H,Comparti!$A:$A,$A40))</f>
        <v/>
      </c>
      <c r="J40" s="27" t="str">
        <f>IF($H40=0,"",_xlfn.MAXIFS(Comparti!$H:$H,Comparti!$A:$A,$A40))</f>
        <v/>
      </c>
      <c r="K40" s="27" t="str">
        <f>IF($H40=0,"",_xlfn.MAXIFS(Comparti!$D:$D,Comparti!$A:$A,$A40))</f>
        <v/>
      </c>
      <c r="L40" s="27" t="str">
        <f>IF(COUNTIFS(Comparti!$A:$A,$A40,Comparti!$G:$G,10)=0,"",_xlfn.MAXIFS(Comparti!$F:$F,Comparti!$A:$A,$A40,Comparti!$G:$G,10))</f>
        <v/>
      </c>
      <c r="M40" s="26"/>
      <c r="N40" s="26"/>
      <c r="O40" s="26"/>
      <c r="P40" s="12"/>
      <c r="Q40" s="30" t="s">
        <v>209</v>
      </c>
    </row>
  </sheetData>
  <autoFilter ref="A2:Q40" xr:uid="{00000000-0001-0000-0000-000000000000}"/>
  <mergeCells count="1">
    <mergeCell ref="A1:B1"/>
  </mergeCells>
  <hyperlinks>
    <hyperlink ref="B3" r:id="rId1" xr:uid="{6A6240DE-02CF-4365-B1EB-0EE8546080A8}"/>
    <hyperlink ref="B4" r:id="rId2" xr:uid="{BABB0A33-B968-4151-BA70-6B3473FF37A6}"/>
    <hyperlink ref="B5" r:id="rId3" xr:uid="{A7CA56E8-1F6D-413F-B0F2-FA53D7A1065B}"/>
    <hyperlink ref="B6" r:id="rId4" xr:uid="{4D745692-8566-40D4-9E14-061B62002A60}"/>
    <hyperlink ref="B7" r:id="rId5" xr:uid="{05315A80-C67B-4949-B6F2-9A377C0AB05C}"/>
    <hyperlink ref="B8" r:id="rId6" xr:uid="{189B94BD-2017-45B6-8377-7980AD732895}"/>
    <hyperlink ref="B9" r:id="rId7" xr:uid="{5A7DD5FC-55CF-440E-8EBA-E421382A6E9D}"/>
    <hyperlink ref="B10" r:id="rId8" xr:uid="{BC14BA65-7F60-4C06-A830-C31A8C0EDCE0}"/>
    <hyperlink ref="B11" r:id="rId9" xr:uid="{48F2FD0D-E8EA-4D64-989A-05224D137F6C}"/>
    <hyperlink ref="B12" r:id="rId10" xr:uid="{4932962E-85B5-48AB-B476-0250B32C9E00}"/>
    <hyperlink ref="B13" r:id="rId11" xr:uid="{BF5FC7E2-682B-41F9-814E-575ADC144180}"/>
    <hyperlink ref="B14" r:id="rId12" xr:uid="{BBC97763-85C2-4393-8529-EDACCA5EA251}"/>
    <hyperlink ref="B15" r:id="rId13" xr:uid="{CDAE0D3D-A9B4-4C7D-A659-B2A9D9BA3591}"/>
    <hyperlink ref="B16" r:id="rId14" xr:uid="{3C7CE3BC-2898-4F97-8D44-F96082378B8A}"/>
    <hyperlink ref="B17" r:id="rId15" xr:uid="{9FB313B6-3BB2-4C86-B2EF-36665CEC5CD6}"/>
    <hyperlink ref="B18" r:id="rId16" xr:uid="{96F4A969-692C-4C5E-96E6-01A2E0D00225}"/>
    <hyperlink ref="B19" r:id="rId17" xr:uid="{67E2EC83-1AB3-4AE8-B94F-7D54BD942878}"/>
    <hyperlink ref="B20" r:id="rId18" xr:uid="{F0895AC0-DF1B-4E7D-A9EF-AEA3F03EEB60}"/>
    <hyperlink ref="B21" r:id="rId19" xr:uid="{11FAF828-6CAD-4B1A-9B0D-22513FD78E3E}"/>
    <hyperlink ref="B22" r:id="rId20" xr:uid="{F9B8769B-D417-4131-9300-82528E48DED3}"/>
    <hyperlink ref="B23" r:id="rId21" xr:uid="{F11AC283-6878-47A3-945C-73BE3C07B438}"/>
    <hyperlink ref="B24" r:id="rId22" xr:uid="{F26CA28F-7054-4B36-AF84-6248624C8A13}"/>
    <hyperlink ref="B25" r:id="rId23" xr:uid="{FEBECE89-7ECA-4EAB-8673-12A700A4C932}"/>
    <hyperlink ref="B26" r:id="rId24" xr:uid="{A6330134-A37E-466F-8B42-DC0E9836AAF7}"/>
    <hyperlink ref="B27" r:id="rId25" xr:uid="{BAF66D71-6CDC-4A66-9099-2969C476F2F5}"/>
    <hyperlink ref="B28" r:id="rId26" xr:uid="{E1A62BC5-1C68-452B-9EBF-E52C62194A60}"/>
    <hyperlink ref="B29" r:id="rId27" xr:uid="{60A36001-AADB-45F2-AF2E-6F34743D8FE4}"/>
    <hyperlink ref="B30" r:id="rId28" xr:uid="{CA23231F-2DE8-47A2-A76D-7FE868A83421}"/>
    <hyperlink ref="B31" r:id="rId29" xr:uid="{DCFB1BAF-7E29-46B6-B4A3-BB9D6FC7D132}"/>
    <hyperlink ref="B32" r:id="rId30" xr:uid="{3DBC7B4D-624C-4B03-80C6-FB4EF639B4CC}"/>
    <hyperlink ref="B33" r:id="rId31" xr:uid="{BB2C8F7F-809F-4DF7-9B97-23A930571E33}"/>
    <hyperlink ref="B34" r:id="rId32" xr:uid="{0562F272-E135-452C-80D2-93CC75FA5073}"/>
    <hyperlink ref="B35" r:id="rId33" xr:uid="{9D985392-7CF4-46A5-B537-E32D9645CF87}"/>
    <hyperlink ref="B36" r:id="rId34" xr:uid="{EFC416A6-C944-4BBB-BEB3-73942E3BDE92}"/>
    <hyperlink ref="B37" r:id="rId35" xr:uid="{946859F5-FD84-4FDB-B970-0756F33A431B}"/>
    <hyperlink ref="B38" r:id="rId36" xr:uid="{B64838B9-1BBE-417C-A385-8B97B700A2B8}"/>
    <hyperlink ref="B39" r:id="rId37" xr:uid="{F8454284-8D72-4D8E-8AD1-A85F594AD1C0}"/>
    <hyperlink ref="B40" r:id="rId38" xr:uid="{14DC17BB-E584-4CF9-A761-2190BA8BEB1E}"/>
    <hyperlink ref="P3" r:id="rId39" xr:uid="{9C45B77F-2D4A-4E06-B473-C9F5BD78C5D8}"/>
    <hyperlink ref="P4" r:id="rId40" xr:uid="{D11E655C-5DEE-434F-99E5-72F700BA8A9C}"/>
    <hyperlink ref="P6" r:id="rId41" xr:uid="{822AF55A-E55E-478D-A85A-953339BF8EB0}"/>
    <hyperlink ref="P7" r:id="rId42" xr:uid="{0963CB25-165B-42C6-9087-39CA9CA69C50}"/>
    <hyperlink ref="P9" r:id="rId43" xr:uid="{9E4A815C-4588-471E-8413-E92C65E869B3}"/>
    <hyperlink ref="P10" r:id="rId44" xr:uid="{FF46FEE7-D7A3-4C7B-9A3B-99E3C602FEFF}"/>
    <hyperlink ref="P11" r:id="rId45" xr:uid="{91D0B54C-4D86-4E1A-B142-1A7CF7BCD31E}"/>
    <hyperlink ref="P16" r:id="rId46" xr:uid="{9548A591-37F7-4B21-A928-CE277E81E843}"/>
    <hyperlink ref="P17" r:id="rId47" xr:uid="{5D96CE1C-808A-4549-97D5-7D24B34F027C}"/>
    <hyperlink ref="P18" r:id="rId48" xr:uid="{4AA69098-DB16-44DA-B911-8EA9FCC1B008}"/>
    <hyperlink ref="P19" r:id="rId49" xr:uid="{A5D80680-FFA2-4948-9BFB-00BACAEF4A0D}"/>
    <hyperlink ref="P20" r:id="rId50" xr:uid="{78176423-4FB6-4CDA-8C46-D26B149F05BF}"/>
    <hyperlink ref="P21" r:id="rId51" xr:uid="{9323807C-9925-4F1B-95FF-5E3CFA3EE403}"/>
    <hyperlink ref="P22" r:id="rId52" xr:uid="{CBBD976E-54A0-494B-8C61-7542586B53CE}"/>
    <hyperlink ref="P23" r:id="rId53" xr:uid="{308560D8-16FA-458F-B79A-397FF3FE4D28}"/>
    <hyperlink ref="P24" r:id="rId54" xr:uid="{7B42FCA7-0DAC-4540-8E9E-D6DA670FA7BF}"/>
    <hyperlink ref="P26" r:id="rId55" xr:uid="{CEF7C1DD-DE1C-4F66-862A-5AA1C6893AB9}"/>
    <hyperlink ref="P28" r:id="rId56" xr:uid="{097EA882-0BE9-4146-AD5C-9AE8B9AF604F}"/>
    <hyperlink ref="P29" r:id="rId57" xr:uid="{EC876507-F689-40E8-AD70-E2F372B365F2}"/>
    <hyperlink ref="P30" r:id="rId58" xr:uid="{7CF18DF0-1C54-4F01-B9E0-E6839E7563CB}"/>
    <hyperlink ref="P31" r:id="rId59" xr:uid="{856EDF73-8EC9-452C-BAF4-1BA2694C56CE}"/>
    <hyperlink ref="P32" r:id="rId60" xr:uid="{57CBF042-D01E-4966-982E-133A6758D97A}"/>
    <hyperlink ref="P35" r:id="rId61" xr:uid="{18E229BA-1375-4D24-B064-2399228C83C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C1D88-67FF-43E6-A002-CD7563C96AAE}">
  <dimension ref="A1:J103"/>
  <sheetViews>
    <sheetView showGridLines="0" tabSelected="1" topLeftCell="B1"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60" customWidth="1"/>
    <col min="2" max="2" width="34.5703125" customWidth="1"/>
    <col min="3" max="8" width="15.42578125" customWidth="1"/>
    <col min="9" max="9" width="21.85546875" customWidth="1"/>
    <col min="10" max="10" width="69.140625" customWidth="1"/>
  </cols>
  <sheetData>
    <row r="1" spans="1:10" ht="39.950000000000003" customHeight="1" x14ac:dyDescent="0.25">
      <c r="A1" s="35" t="s">
        <v>77</v>
      </c>
      <c r="B1" s="34" t="s">
        <v>78</v>
      </c>
      <c r="C1" s="34" t="s">
        <v>79</v>
      </c>
      <c r="D1" s="34" t="s">
        <v>80</v>
      </c>
      <c r="E1" s="34" t="s">
        <v>81</v>
      </c>
      <c r="F1" s="34" t="s">
        <v>82</v>
      </c>
      <c r="G1" s="34" t="s">
        <v>83</v>
      </c>
      <c r="H1" s="34" t="s">
        <v>84</v>
      </c>
      <c r="I1" s="34" t="s">
        <v>85</v>
      </c>
      <c r="J1" s="36" t="s">
        <v>86</v>
      </c>
    </row>
    <row r="2" spans="1:10" x14ac:dyDescent="0.25">
      <c r="A2" s="37" t="str">
        <f>Sheet1!$A$3</f>
        <v>ALLIANZ PREVIDENZA FONDO PENSIONE APERTO A CONTRIBUZIONE DEFINITA</v>
      </c>
      <c r="B2" s="38" t="s">
        <v>87</v>
      </c>
      <c r="C2" s="43" t="s">
        <v>88</v>
      </c>
      <c r="D2" s="44">
        <v>0.9</v>
      </c>
      <c r="E2" s="44">
        <v>0.1</v>
      </c>
      <c r="F2" s="44">
        <v>6.54E-2</v>
      </c>
      <c r="G2" s="45">
        <v>10</v>
      </c>
      <c r="H2" s="44">
        <v>1.4500000000000001E-2</v>
      </c>
      <c r="I2" s="55" t="s">
        <v>245</v>
      </c>
      <c r="J2" s="52"/>
    </row>
    <row r="3" spans="1:10" x14ac:dyDescent="0.25">
      <c r="A3" s="39" t="str">
        <f>Sheet1!$A$3</f>
        <v>ALLIANZ PREVIDENZA FONDO PENSIONE APERTO A CONTRIBUZIONE DEFINITA</v>
      </c>
      <c r="B3" s="40" t="s">
        <v>89</v>
      </c>
      <c r="C3" s="46" t="s">
        <v>90</v>
      </c>
      <c r="D3" s="47">
        <v>0.4</v>
      </c>
      <c r="E3" s="47">
        <v>0.6</v>
      </c>
      <c r="F3" s="47">
        <v>2.6700000000000002E-2</v>
      </c>
      <c r="G3" s="48">
        <v>10</v>
      </c>
      <c r="H3" s="47">
        <v>1.2500000000000001E-2</v>
      </c>
      <c r="I3" s="56" t="s">
        <v>245</v>
      </c>
      <c r="J3" s="53"/>
    </row>
    <row r="4" spans="1:10" x14ac:dyDescent="0.25">
      <c r="A4" s="37" t="str">
        <f>Sheet1!$A$3</f>
        <v>ALLIANZ PREVIDENZA FONDO PENSIONE APERTO A CONTRIBUZIONE DEFINITA</v>
      </c>
      <c r="B4" s="38" t="s">
        <v>91</v>
      </c>
      <c r="C4" s="43" t="s">
        <v>92</v>
      </c>
      <c r="D4" s="44">
        <v>0.02</v>
      </c>
      <c r="E4" s="44">
        <v>0.98</v>
      </c>
      <c r="F4" s="44">
        <v>-7.000000000000001E-4</v>
      </c>
      <c r="G4" s="45">
        <v>10</v>
      </c>
      <c r="H4" s="44">
        <v>1.0999999999999999E-2</v>
      </c>
      <c r="I4" s="55" t="s">
        <v>245</v>
      </c>
      <c r="J4" s="52"/>
    </row>
    <row r="5" spans="1:10" x14ac:dyDescent="0.25">
      <c r="A5" s="39" t="str">
        <f>Sheet1!$A$3</f>
        <v>ALLIANZ PREVIDENZA FONDO PENSIONE APERTO A CONTRIBUZIONE DEFINITA</v>
      </c>
      <c r="B5" s="40" t="s">
        <v>93</v>
      </c>
      <c r="C5" s="46" t="s">
        <v>92</v>
      </c>
      <c r="D5" s="47">
        <v>0</v>
      </c>
      <c r="E5" s="47">
        <v>1</v>
      </c>
      <c r="F5" s="47">
        <v>4.4000000000000003E-3</v>
      </c>
      <c r="G5" s="48">
        <v>10</v>
      </c>
      <c r="H5" s="47">
        <v>1.2E-2</v>
      </c>
      <c r="I5" s="56" t="s">
        <v>245</v>
      </c>
      <c r="J5" s="53"/>
    </row>
    <row r="6" spans="1:10" x14ac:dyDescent="0.25">
      <c r="A6" s="37" t="str">
        <f>Sheet1!$A$3</f>
        <v>ALLIANZ PREVIDENZA FONDO PENSIONE APERTO A CONTRIBUZIONE DEFINITA</v>
      </c>
      <c r="B6" s="38" t="s">
        <v>94</v>
      </c>
      <c r="C6" s="43" t="s">
        <v>92</v>
      </c>
      <c r="D6" s="44">
        <v>0</v>
      </c>
      <c r="E6" s="44">
        <v>1</v>
      </c>
      <c r="F6" s="44">
        <v>-4.5000000000000005E-3</v>
      </c>
      <c r="G6" s="45">
        <v>10</v>
      </c>
      <c r="H6" s="44">
        <v>0.01</v>
      </c>
      <c r="I6" s="55" t="s">
        <v>245</v>
      </c>
      <c r="J6" s="52"/>
    </row>
    <row r="7" spans="1:10" x14ac:dyDescent="0.25">
      <c r="A7" s="39" t="str">
        <f>Sheet1!$A$4</f>
        <v>PREVIDENZA PER TE - FONDO PENSIONE APERTO</v>
      </c>
      <c r="B7" s="40" t="s">
        <v>95</v>
      </c>
      <c r="C7" s="46" t="s">
        <v>88</v>
      </c>
      <c r="D7" s="47">
        <v>0.82</v>
      </c>
      <c r="E7" s="47">
        <v>0.18</v>
      </c>
      <c r="F7" s="47">
        <v>5.1799999999999999E-2</v>
      </c>
      <c r="G7" s="48">
        <v>10</v>
      </c>
      <c r="H7" s="47">
        <v>1.6E-2</v>
      </c>
      <c r="I7" s="56" t="s">
        <v>245</v>
      </c>
      <c r="J7" s="53"/>
    </row>
    <row r="8" spans="1:10" x14ac:dyDescent="0.25">
      <c r="A8" s="37" t="str">
        <f>Sheet1!$A$4</f>
        <v>PREVIDENZA PER TE - FONDO PENSIONE APERTO</v>
      </c>
      <c r="B8" s="38" t="s">
        <v>96</v>
      </c>
      <c r="C8" s="43" t="s">
        <v>90</v>
      </c>
      <c r="D8" s="44">
        <v>0.57999999999999996</v>
      </c>
      <c r="E8" s="44">
        <v>0.42</v>
      </c>
      <c r="F8" s="44">
        <v>3.6799999999999999E-2</v>
      </c>
      <c r="G8" s="45">
        <v>10</v>
      </c>
      <c r="H8" s="44">
        <v>1.4E-2</v>
      </c>
      <c r="I8" s="55" t="s">
        <v>245</v>
      </c>
      <c r="J8" s="52"/>
    </row>
    <row r="9" spans="1:10" x14ac:dyDescent="0.25">
      <c r="A9" s="39" t="str">
        <f>Sheet1!$A$4</f>
        <v>PREVIDENZA PER TE - FONDO PENSIONE APERTO</v>
      </c>
      <c r="B9" s="40" t="s">
        <v>97</v>
      </c>
      <c r="C9" s="46" t="s">
        <v>90</v>
      </c>
      <c r="D9" s="47">
        <v>0.33</v>
      </c>
      <c r="E9" s="47">
        <v>0.67</v>
      </c>
      <c r="F9" s="47">
        <v>2.2499999999999999E-2</v>
      </c>
      <c r="G9" s="48">
        <v>10</v>
      </c>
      <c r="H9" s="47">
        <v>1.0999999999999999E-2</v>
      </c>
      <c r="I9" s="56" t="s">
        <v>245</v>
      </c>
      <c r="J9" s="53"/>
    </row>
    <row r="10" spans="1:10" x14ac:dyDescent="0.25">
      <c r="A10" s="37" t="str">
        <f>Sheet1!$A$4</f>
        <v>PREVIDENZA PER TE - FONDO PENSIONE APERTO</v>
      </c>
      <c r="B10" s="38" t="s">
        <v>98</v>
      </c>
      <c r="C10" s="43" t="s">
        <v>99</v>
      </c>
      <c r="D10" s="44">
        <v>0.06</v>
      </c>
      <c r="E10" s="44">
        <v>0.94</v>
      </c>
      <c r="F10" s="44">
        <v>2.0000000000000001E-4</v>
      </c>
      <c r="G10" s="45">
        <v>10</v>
      </c>
      <c r="H10" s="44">
        <v>1.2E-2</v>
      </c>
      <c r="I10" s="55" t="s">
        <v>245</v>
      </c>
      <c r="J10" s="52"/>
    </row>
    <row r="11" spans="1:10" x14ac:dyDescent="0.25">
      <c r="A11" s="39" t="str">
        <f>Sheet1!$A$4</f>
        <v>PREVIDENZA PER TE - FONDO PENSIONE APERTO</v>
      </c>
      <c r="B11" s="40" t="s">
        <v>100</v>
      </c>
      <c r="C11" s="46" t="s">
        <v>92</v>
      </c>
      <c r="D11" s="47">
        <v>0</v>
      </c>
      <c r="E11" s="47">
        <v>1</v>
      </c>
      <c r="F11" s="47">
        <v>1.2999999999999999E-3</v>
      </c>
      <c r="G11" s="48">
        <v>10</v>
      </c>
      <c r="H11" s="47">
        <v>1.0999999999999999E-2</v>
      </c>
      <c r="I11" s="56" t="s">
        <v>245</v>
      </c>
      <c r="J11" s="53"/>
    </row>
    <row r="12" spans="1:10" x14ac:dyDescent="0.25">
      <c r="A12" s="37" t="str">
        <f>Sheet1!$A$6</f>
        <v>FONDO PENSIONE FIDEURAM FONDO PENSIONE APERTO</v>
      </c>
      <c r="B12" s="38" t="s">
        <v>101</v>
      </c>
      <c r="C12" s="43" t="s">
        <v>88</v>
      </c>
      <c r="D12" s="44">
        <v>0.94740000000000002</v>
      </c>
      <c r="E12" s="44">
        <v>5.2600000000000001E-2</v>
      </c>
      <c r="F12" s="44">
        <v>5.8999999999999997E-2</v>
      </c>
      <c r="G12" s="45">
        <v>5</v>
      </c>
      <c r="H12" s="44">
        <v>1.8000000000000002E-2</v>
      </c>
      <c r="I12" s="55" t="s">
        <v>245</v>
      </c>
      <c r="J12" s="52" t="s">
        <v>102</v>
      </c>
    </row>
    <row r="13" spans="1:10" x14ac:dyDescent="0.25">
      <c r="A13" s="39" t="str">
        <f>Sheet1!$A$6</f>
        <v>FONDO PENSIONE FIDEURAM FONDO PENSIONE APERTO</v>
      </c>
      <c r="B13" s="40" t="s">
        <v>95</v>
      </c>
      <c r="C13" s="46" t="s">
        <v>88</v>
      </c>
      <c r="D13" s="47">
        <v>0.78379999999999994</v>
      </c>
      <c r="E13" s="47">
        <v>0.2162</v>
      </c>
      <c r="F13" s="47">
        <v>5.0099999999999999E-2</v>
      </c>
      <c r="G13" s="48">
        <v>10</v>
      </c>
      <c r="H13" s="47">
        <v>0.02</v>
      </c>
      <c r="I13" s="56" t="s">
        <v>245</v>
      </c>
      <c r="J13" s="53"/>
    </row>
    <row r="14" spans="1:10" x14ac:dyDescent="0.25">
      <c r="A14" s="37" t="str">
        <f>Sheet1!$A$6</f>
        <v>FONDO PENSIONE FIDEURAM FONDO PENSIONE APERTO</v>
      </c>
      <c r="B14" s="38" t="s">
        <v>103</v>
      </c>
      <c r="C14" s="43" t="s">
        <v>88</v>
      </c>
      <c r="D14" s="44">
        <v>0.59640000000000004</v>
      </c>
      <c r="E14" s="44">
        <v>0.40360000000000001</v>
      </c>
      <c r="F14" s="44">
        <v>3.5699999999999996E-2</v>
      </c>
      <c r="G14" s="45">
        <v>10</v>
      </c>
      <c r="H14" s="44">
        <v>0.02</v>
      </c>
      <c r="I14" s="55" t="s">
        <v>245</v>
      </c>
      <c r="J14" s="52"/>
    </row>
    <row r="15" spans="1:10" x14ac:dyDescent="0.25">
      <c r="A15" s="39" t="str">
        <f>Sheet1!$A$6</f>
        <v>FONDO PENSIONE FIDEURAM FONDO PENSIONE APERTO</v>
      </c>
      <c r="B15" s="40" t="s">
        <v>104</v>
      </c>
      <c r="C15" s="46" t="s">
        <v>90</v>
      </c>
      <c r="D15" s="47">
        <v>0.30219999999999997</v>
      </c>
      <c r="E15" s="47">
        <v>0.69779999999999998</v>
      </c>
      <c r="F15" s="47">
        <v>1.7399999999999999E-2</v>
      </c>
      <c r="G15" s="48">
        <v>10</v>
      </c>
      <c r="H15" s="47">
        <v>1.4999999999999999E-2</v>
      </c>
      <c r="I15" s="56" t="s">
        <v>245</v>
      </c>
      <c r="J15" s="53"/>
    </row>
    <row r="16" spans="1:10" x14ac:dyDescent="0.25">
      <c r="A16" s="37" t="str">
        <f>Sheet1!$A$6</f>
        <v>FONDO PENSIONE FIDEURAM FONDO PENSIONE APERTO</v>
      </c>
      <c r="B16" s="38" t="s">
        <v>105</v>
      </c>
      <c r="C16" s="43" t="s">
        <v>92</v>
      </c>
      <c r="D16" s="44">
        <v>0</v>
      </c>
      <c r="E16" s="44">
        <v>1</v>
      </c>
      <c r="F16" s="44">
        <v>-4.0000000000000001E-3</v>
      </c>
      <c r="G16" s="45">
        <v>10</v>
      </c>
      <c r="H16" s="44">
        <v>1.2999999999999999E-2</v>
      </c>
      <c r="I16" s="55" t="s">
        <v>245</v>
      </c>
      <c r="J16" s="52"/>
    </row>
    <row r="17" spans="1:10" x14ac:dyDescent="0.25">
      <c r="A17" s="39" t="str">
        <f>Sheet1!$A$6</f>
        <v>FONDO PENSIONE FIDEURAM FONDO PENSIONE APERTO</v>
      </c>
      <c r="B17" s="40" t="s">
        <v>106</v>
      </c>
      <c r="C17" s="46" t="s">
        <v>92</v>
      </c>
      <c r="D17" s="47">
        <v>0</v>
      </c>
      <c r="E17" s="47">
        <v>1</v>
      </c>
      <c r="F17" s="47">
        <v>-2.3E-3</v>
      </c>
      <c r="G17" s="48">
        <v>10</v>
      </c>
      <c r="H17" s="47">
        <v>0.01</v>
      </c>
      <c r="I17" s="56" t="s">
        <v>245</v>
      </c>
      <c r="J17" s="53"/>
    </row>
    <row r="18" spans="1:10" x14ac:dyDescent="0.25">
      <c r="A18" s="37" t="str">
        <f>Sheet1!$A$7</f>
        <v>GENERALI GLOBAL - FONDO PENSIONE APERTO A CONTRIBUZIONE DEFINITA</v>
      </c>
      <c r="B18" s="38" t="s">
        <v>107</v>
      </c>
      <c r="C18" s="43" t="s">
        <v>88</v>
      </c>
      <c r="D18" s="44">
        <v>0.93</v>
      </c>
      <c r="E18" s="44">
        <v>7.0000000000000007E-2</v>
      </c>
      <c r="F18" s="44">
        <v>5.5899999999999998E-2</v>
      </c>
      <c r="G18" s="45">
        <v>10</v>
      </c>
      <c r="H18" s="44">
        <v>1.4999999999999999E-2</v>
      </c>
      <c r="I18" s="55" t="s">
        <v>245</v>
      </c>
      <c r="J18" s="52"/>
    </row>
    <row r="19" spans="1:10" x14ac:dyDescent="0.25">
      <c r="A19" s="39" t="str">
        <f>Sheet1!$A$7</f>
        <v>GENERALI GLOBAL - FONDO PENSIONE APERTO A CONTRIBUZIONE DEFINITA</v>
      </c>
      <c r="B19" s="40" t="s">
        <v>108</v>
      </c>
      <c r="C19" s="46" t="s">
        <v>90</v>
      </c>
      <c r="D19" s="47">
        <v>0.28000000000000003</v>
      </c>
      <c r="E19" s="47">
        <v>0.72</v>
      </c>
      <c r="F19" s="47">
        <v>1.3500000000000002E-2</v>
      </c>
      <c r="G19" s="48">
        <v>10</v>
      </c>
      <c r="H19" s="47">
        <v>1.2999999999999999E-2</v>
      </c>
      <c r="I19" s="56" t="s">
        <v>245</v>
      </c>
      <c r="J19" s="53"/>
    </row>
    <row r="20" spans="1:10" x14ac:dyDescent="0.25">
      <c r="A20" s="37" t="str">
        <f>Sheet1!$A$7</f>
        <v>GENERALI GLOBAL - FONDO PENSIONE APERTO A CONTRIBUZIONE DEFINITA</v>
      </c>
      <c r="B20" s="38" t="s">
        <v>109</v>
      </c>
      <c r="C20" s="43" t="s">
        <v>99</v>
      </c>
      <c r="D20" s="44">
        <v>0.11</v>
      </c>
      <c r="E20" s="44">
        <v>0.89</v>
      </c>
      <c r="F20" s="44">
        <v>1.47E-2</v>
      </c>
      <c r="G20" s="45">
        <v>5</v>
      </c>
      <c r="H20" s="44">
        <v>9.4999999999999998E-3</v>
      </c>
      <c r="I20" s="55" t="s">
        <v>245</v>
      </c>
      <c r="J20" s="52" t="s">
        <v>110</v>
      </c>
    </row>
    <row r="21" spans="1:10" x14ac:dyDescent="0.25">
      <c r="A21" s="39" t="str">
        <f>Sheet1!$A$7</f>
        <v>GENERALI GLOBAL - FONDO PENSIONE APERTO A CONTRIBUZIONE DEFINITA</v>
      </c>
      <c r="B21" s="40" t="s">
        <v>111</v>
      </c>
      <c r="C21" s="46" t="s">
        <v>92</v>
      </c>
      <c r="D21" s="47">
        <v>0</v>
      </c>
      <c r="E21" s="47">
        <v>1</v>
      </c>
      <c r="F21" s="47">
        <v>1E-4</v>
      </c>
      <c r="G21" s="48">
        <v>5</v>
      </c>
      <c r="H21" s="47">
        <v>8.5000000000000006E-3</v>
      </c>
      <c r="I21" s="56" t="s">
        <v>245</v>
      </c>
      <c r="J21" s="53" t="s">
        <v>110</v>
      </c>
    </row>
    <row r="22" spans="1:10" x14ac:dyDescent="0.25">
      <c r="A22" s="37" t="str">
        <f>Sheet1!$A$7</f>
        <v>GENERALI GLOBAL - FONDO PENSIONE APERTO A CONTRIBUZIONE DEFINITA</v>
      </c>
      <c r="B22" s="38" t="s">
        <v>112</v>
      </c>
      <c r="C22" s="43" t="s">
        <v>92</v>
      </c>
      <c r="D22" s="44">
        <v>0</v>
      </c>
      <c r="E22" s="44">
        <v>1</v>
      </c>
      <c r="F22" s="44">
        <v>2.0999999999999999E-3</v>
      </c>
      <c r="G22" s="45">
        <v>10</v>
      </c>
      <c r="H22" s="44">
        <v>9.0000000000000011E-3</v>
      </c>
      <c r="I22" s="55" t="s">
        <v>245</v>
      </c>
      <c r="J22" s="52"/>
    </row>
    <row r="23" spans="1:10" x14ac:dyDescent="0.25">
      <c r="A23" s="39" t="str">
        <f>Sheet1!$A$9</f>
        <v>FONDO PENSIONE APERTO TESEO</v>
      </c>
      <c r="B23" s="40" t="s">
        <v>113</v>
      </c>
      <c r="C23" s="46" t="s">
        <v>88</v>
      </c>
      <c r="D23" s="47">
        <v>0.89</v>
      </c>
      <c r="E23" s="47">
        <v>0.11</v>
      </c>
      <c r="F23" s="47">
        <v>4.9799999999999997E-2</v>
      </c>
      <c r="G23" s="48">
        <v>10</v>
      </c>
      <c r="H23" s="47">
        <v>1.4999999999999999E-2</v>
      </c>
      <c r="I23" s="56" t="s">
        <v>245</v>
      </c>
      <c r="J23" s="53"/>
    </row>
    <row r="24" spans="1:10" x14ac:dyDescent="0.25">
      <c r="A24" s="37" t="str">
        <f>Sheet1!$A$9</f>
        <v>FONDO PENSIONE APERTO TESEO</v>
      </c>
      <c r="B24" s="38" t="s">
        <v>114</v>
      </c>
      <c r="C24" s="43" t="s">
        <v>90</v>
      </c>
      <c r="D24" s="44">
        <v>0.4</v>
      </c>
      <c r="E24" s="44">
        <v>0.6</v>
      </c>
      <c r="F24" s="44">
        <v>1.8799999999999997E-2</v>
      </c>
      <c r="G24" s="45">
        <v>10</v>
      </c>
      <c r="H24" s="44">
        <v>1.2999999999999999E-2</v>
      </c>
      <c r="I24" s="55" t="s">
        <v>245</v>
      </c>
      <c r="J24" s="52"/>
    </row>
    <row r="25" spans="1:10" x14ac:dyDescent="0.25">
      <c r="A25" s="39" t="str">
        <f>Sheet1!$A$9</f>
        <v>FONDO PENSIONE APERTO TESEO</v>
      </c>
      <c r="B25" s="40" t="s">
        <v>115</v>
      </c>
      <c r="C25" s="46" t="s">
        <v>92</v>
      </c>
      <c r="D25" s="47">
        <v>0</v>
      </c>
      <c r="E25" s="47">
        <v>1</v>
      </c>
      <c r="F25" s="47">
        <v>5.1000000000000004E-3</v>
      </c>
      <c r="G25" s="48">
        <v>10</v>
      </c>
      <c r="H25" s="47">
        <v>6.5000000000000006E-3</v>
      </c>
      <c r="I25" s="56" t="s">
        <v>245</v>
      </c>
      <c r="J25" s="53"/>
    </row>
    <row r="26" spans="1:10" x14ac:dyDescent="0.25">
      <c r="A26" s="37" t="str">
        <f>Sheet1!$A$9</f>
        <v>FONDO PENSIONE APERTO TESEO</v>
      </c>
      <c r="B26" s="38" t="s">
        <v>116</v>
      </c>
      <c r="C26" s="43" t="s">
        <v>92</v>
      </c>
      <c r="D26" s="44">
        <v>0</v>
      </c>
      <c r="E26" s="44">
        <v>1</v>
      </c>
      <c r="F26" s="44">
        <v>-5.4000000000000003E-3</v>
      </c>
      <c r="G26" s="45">
        <v>10</v>
      </c>
      <c r="H26" s="44">
        <v>0.01</v>
      </c>
      <c r="I26" s="55" t="s">
        <v>245</v>
      </c>
      <c r="J26" s="52"/>
    </row>
    <row r="27" spans="1:10" x14ac:dyDescent="0.25">
      <c r="A27" s="39" t="str">
        <f>Sheet1!$A$10</f>
        <v>DESTINAZIONE FUTURO - FONDO PENSIONE APERTO BY CREDEMVITA</v>
      </c>
      <c r="B27" s="40" t="s">
        <v>117</v>
      </c>
      <c r="C27" s="46" t="s">
        <v>88</v>
      </c>
      <c r="D27" s="47">
        <v>0.91349999999999998</v>
      </c>
      <c r="E27" s="47">
        <v>8.6500000000000007E-2</v>
      </c>
      <c r="F27" s="47">
        <v>5.79E-2</v>
      </c>
      <c r="G27" s="48">
        <v>10</v>
      </c>
      <c r="H27" s="47">
        <v>1.4999999999999999E-2</v>
      </c>
      <c r="I27" s="56" t="s">
        <v>245</v>
      </c>
      <c r="J27" s="53"/>
    </row>
    <row r="28" spans="1:10" x14ac:dyDescent="0.25">
      <c r="A28" s="37" t="str">
        <f>Sheet1!$A$10</f>
        <v>DESTINAZIONE FUTURO - FONDO PENSIONE APERTO BY CREDEMVITA</v>
      </c>
      <c r="B28" s="38" t="s">
        <v>118</v>
      </c>
      <c r="C28" s="43" t="s">
        <v>90</v>
      </c>
      <c r="D28" s="44">
        <v>0.50539999999999996</v>
      </c>
      <c r="E28" s="44">
        <v>0.49459999999999998</v>
      </c>
      <c r="F28" s="44">
        <v>3.1600000000000003E-2</v>
      </c>
      <c r="G28" s="45">
        <v>10</v>
      </c>
      <c r="H28" s="44">
        <v>1.2E-2</v>
      </c>
      <c r="I28" s="55" t="s">
        <v>245</v>
      </c>
      <c r="J28" s="52"/>
    </row>
    <row r="29" spans="1:10" x14ac:dyDescent="0.25">
      <c r="A29" s="39" t="str">
        <f>Sheet1!$A$10</f>
        <v>DESTINAZIONE FUTURO - FONDO PENSIONE APERTO BY CREDEMVITA</v>
      </c>
      <c r="B29" s="40" t="s">
        <v>119</v>
      </c>
      <c r="C29" s="46" t="s">
        <v>90</v>
      </c>
      <c r="D29" s="47">
        <v>0.32380000000000003</v>
      </c>
      <c r="E29" s="47">
        <v>0.67620000000000002</v>
      </c>
      <c r="F29" s="47">
        <v>1.72E-2</v>
      </c>
      <c r="G29" s="48">
        <v>10</v>
      </c>
      <c r="H29" s="47">
        <v>0.01</v>
      </c>
      <c r="I29" s="56" t="s">
        <v>245</v>
      </c>
      <c r="J29" s="53"/>
    </row>
    <row r="30" spans="1:10" x14ac:dyDescent="0.25">
      <c r="A30" s="37" t="str">
        <f>Sheet1!$A$10</f>
        <v>DESTINAZIONE FUTURO - FONDO PENSIONE APERTO BY CREDEMVITA</v>
      </c>
      <c r="B30" s="38" t="s">
        <v>120</v>
      </c>
      <c r="C30" s="43" t="s">
        <v>121</v>
      </c>
      <c r="D30" s="44">
        <v>0.1066</v>
      </c>
      <c r="E30" s="44">
        <v>0.89340000000000008</v>
      </c>
      <c r="F30" s="44">
        <v>9.0000000000000011E-3</v>
      </c>
      <c r="G30" s="45">
        <v>10</v>
      </c>
      <c r="H30" s="44">
        <v>1.0999999999999999E-2</v>
      </c>
      <c r="I30" s="55" t="s">
        <v>245</v>
      </c>
      <c r="J30" s="52"/>
    </row>
    <row r="31" spans="1:10" x14ac:dyDescent="0.25">
      <c r="A31" s="39" t="str">
        <f>Sheet1!$A$11</f>
        <v>FONDO PENSIONE APERTO VITTORIA FORMULA LAVORO</v>
      </c>
      <c r="B31" s="40" t="s">
        <v>122</v>
      </c>
      <c r="C31" s="46" t="s">
        <v>88</v>
      </c>
      <c r="D31" s="47">
        <v>0.81010000000000004</v>
      </c>
      <c r="E31" s="47">
        <v>0.18990000000000001</v>
      </c>
      <c r="F31" s="47">
        <v>3.8699999999999998E-2</v>
      </c>
      <c r="G31" s="48">
        <v>10</v>
      </c>
      <c r="H31" s="47">
        <v>1.6799999999999999E-2</v>
      </c>
      <c r="I31" s="56" t="s">
        <v>245</v>
      </c>
      <c r="J31" s="53"/>
    </row>
    <row r="32" spans="1:10" x14ac:dyDescent="0.25">
      <c r="A32" s="37" t="str">
        <f>Sheet1!$A$11</f>
        <v>FONDO PENSIONE APERTO VITTORIA FORMULA LAVORO</v>
      </c>
      <c r="B32" s="38" t="s">
        <v>123</v>
      </c>
      <c r="C32" s="43" t="s">
        <v>90</v>
      </c>
      <c r="D32" s="44">
        <v>0.50049999999999994</v>
      </c>
      <c r="E32" s="44">
        <v>0.49950000000000006</v>
      </c>
      <c r="F32" s="44">
        <v>4.8399999999999999E-2</v>
      </c>
      <c r="G32" s="45">
        <v>3</v>
      </c>
      <c r="H32" s="44">
        <v>0.01</v>
      </c>
      <c r="I32" s="55" t="s">
        <v>245</v>
      </c>
      <c r="J32" s="52" t="s">
        <v>124</v>
      </c>
    </row>
    <row r="33" spans="1:10" x14ac:dyDescent="0.25">
      <c r="A33" s="39" t="str">
        <f>Sheet1!$A$11</f>
        <v>FONDO PENSIONE APERTO VITTORIA FORMULA LAVORO</v>
      </c>
      <c r="B33" s="40" t="s">
        <v>125</v>
      </c>
      <c r="C33" s="46" t="s">
        <v>90</v>
      </c>
      <c r="D33" s="47">
        <v>0.41699999999999998</v>
      </c>
      <c r="E33" s="47">
        <v>0.58299999999999996</v>
      </c>
      <c r="F33" s="47">
        <v>1.47E-2</v>
      </c>
      <c r="G33" s="48">
        <v>10</v>
      </c>
      <c r="H33" s="47">
        <v>1.32E-2</v>
      </c>
      <c r="I33" s="56" t="s">
        <v>245</v>
      </c>
      <c r="J33" s="53"/>
    </row>
    <row r="34" spans="1:10" x14ac:dyDescent="0.25">
      <c r="A34" s="37" t="str">
        <f>Sheet1!$A$11</f>
        <v>FONDO PENSIONE APERTO VITTORIA FORMULA LAVORO</v>
      </c>
      <c r="B34" s="38" t="s">
        <v>126</v>
      </c>
      <c r="C34" s="43" t="s">
        <v>99</v>
      </c>
      <c r="D34" s="44">
        <v>0.1295</v>
      </c>
      <c r="E34" s="44">
        <v>0.87049999999999994</v>
      </c>
      <c r="F34" s="44">
        <v>-1.6999999999999999E-3</v>
      </c>
      <c r="G34" s="45">
        <v>10</v>
      </c>
      <c r="H34" s="44">
        <v>0.01</v>
      </c>
      <c r="I34" s="55" t="s">
        <v>245</v>
      </c>
      <c r="J34" s="52"/>
    </row>
    <row r="35" spans="1:10" x14ac:dyDescent="0.25">
      <c r="A35" s="39" t="str">
        <f>Sheet1!$A$16</f>
        <v>FONDO PENSIONE APERTO PREVIGEST FUND MEDIOLANUM</v>
      </c>
      <c r="B35" s="40" t="s">
        <v>127</v>
      </c>
      <c r="C35" s="46" t="s">
        <v>88</v>
      </c>
      <c r="D35" s="47">
        <v>0.9</v>
      </c>
      <c r="E35" s="47">
        <v>0.1</v>
      </c>
      <c r="F35" s="47">
        <v>4.4699999999999997E-2</v>
      </c>
      <c r="G35" s="48">
        <v>10</v>
      </c>
      <c r="H35" s="47">
        <v>0.02</v>
      </c>
      <c r="I35" s="56" t="s">
        <v>245</v>
      </c>
      <c r="J35" s="53"/>
    </row>
    <row r="36" spans="1:10" x14ac:dyDescent="0.25">
      <c r="A36" s="37" t="str">
        <f>Sheet1!$A$16</f>
        <v>FONDO PENSIONE APERTO PREVIGEST FUND MEDIOLANUM</v>
      </c>
      <c r="B36" s="38" t="s">
        <v>118</v>
      </c>
      <c r="C36" s="43" t="s">
        <v>90</v>
      </c>
      <c r="D36" s="44">
        <v>0.5</v>
      </c>
      <c r="E36" s="44">
        <v>0.5</v>
      </c>
      <c r="F36" s="44">
        <v>2.2799999999999997E-2</v>
      </c>
      <c r="G36" s="45">
        <v>10</v>
      </c>
      <c r="H36" s="44">
        <v>1.7399999999999999E-2</v>
      </c>
      <c r="I36" s="55" t="s">
        <v>245</v>
      </c>
      <c r="J36" s="52"/>
    </row>
    <row r="37" spans="1:10" x14ac:dyDescent="0.25">
      <c r="A37" s="39" t="str">
        <f>Sheet1!$A$16</f>
        <v>FONDO PENSIONE APERTO PREVIGEST FUND MEDIOLANUM</v>
      </c>
      <c r="B37" s="40" t="s">
        <v>112</v>
      </c>
      <c r="C37" s="46" t="s">
        <v>99</v>
      </c>
      <c r="D37" s="47">
        <v>0.05</v>
      </c>
      <c r="E37" s="47">
        <v>0.95</v>
      </c>
      <c r="F37" s="47">
        <v>-4.3E-3</v>
      </c>
      <c r="G37" s="48">
        <v>10</v>
      </c>
      <c r="H37" s="47">
        <v>1.4999999999999999E-2</v>
      </c>
      <c r="I37" s="56" t="s">
        <v>245</v>
      </c>
      <c r="J37" s="53"/>
    </row>
    <row r="38" spans="1:10" x14ac:dyDescent="0.25">
      <c r="A38" s="37" t="str">
        <f>Sheet1!$A$17</f>
        <v>FONDO PENSIONE APERTO ZURICH CONTRIBUTION</v>
      </c>
      <c r="B38" s="38" t="s">
        <v>128</v>
      </c>
      <c r="C38" s="43" t="s">
        <v>88</v>
      </c>
      <c r="D38" s="44">
        <v>0.69189999999999996</v>
      </c>
      <c r="E38" s="44">
        <v>0.30809999999999998</v>
      </c>
      <c r="F38" s="44">
        <v>3.9800000000000002E-2</v>
      </c>
      <c r="G38" s="45">
        <v>10</v>
      </c>
      <c r="H38" s="44">
        <v>1.0500000000000001E-2</v>
      </c>
      <c r="I38" s="55" t="s">
        <v>245</v>
      </c>
      <c r="J38" s="52"/>
    </row>
    <row r="39" spans="1:10" x14ac:dyDescent="0.25">
      <c r="A39" s="39" t="str">
        <f>Sheet1!$A$17</f>
        <v>FONDO PENSIONE APERTO ZURICH CONTRIBUTION</v>
      </c>
      <c r="B39" s="40" t="s">
        <v>98</v>
      </c>
      <c r="C39" s="46" t="s">
        <v>92</v>
      </c>
      <c r="D39" s="47">
        <v>0</v>
      </c>
      <c r="E39" s="47">
        <v>1</v>
      </c>
      <c r="F39" s="47">
        <v>-3.3999999999999998E-3</v>
      </c>
      <c r="G39" s="48">
        <v>10</v>
      </c>
      <c r="H39" s="47">
        <v>9.0000000000000011E-3</v>
      </c>
      <c r="I39" s="56" t="s">
        <v>245</v>
      </c>
      <c r="J39" s="53"/>
    </row>
    <row r="40" spans="1:10" x14ac:dyDescent="0.25">
      <c r="A40" s="37" t="str">
        <f>Sheet1!$A$17</f>
        <v>FONDO PENSIONE APERTO ZURICH CONTRIBUTION</v>
      </c>
      <c r="B40" s="38" t="s">
        <v>129</v>
      </c>
      <c r="C40" s="43" t="s">
        <v>92</v>
      </c>
      <c r="D40" s="44">
        <v>0</v>
      </c>
      <c r="E40" s="44">
        <v>1</v>
      </c>
      <c r="F40" s="44">
        <v>-7.9000000000000008E-3</v>
      </c>
      <c r="G40" s="45">
        <v>10</v>
      </c>
      <c r="H40" s="44">
        <v>9.4999999999999998E-3</v>
      </c>
      <c r="I40" s="55" t="s">
        <v>245</v>
      </c>
      <c r="J40" s="52"/>
    </row>
    <row r="41" spans="1:10" x14ac:dyDescent="0.25">
      <c r="A41" s="39" t="str">
        <f>Sheet1!$A$18</f>
        <v>ZED OMNIFUND - FONDO PENSIONE APERTO</v>
      </c>
      <c r="B41" s="40" t="s">
        <v>130</v>
      </c>
      <c r="C41" s="46" t="s">
        <v>88</v>
      </c>
      <c r="D41" s="47">
        <v>0.92369999999999997</v>
      </c>
      <c r="E41" s="47">
        <v>7.6299999999999993E-2</v>
      </c>
      <c r="F41" s="47">
        <v>5.0199999999999995E-2</v>
      </c>
      <c r="G41" s="48">
        <v>10</v>
      </c>
      <c r="H41" s="47">
        <v>2.2200000000000001E-2</v>
      </c>
      <c r="I41" s="56" t="s">
        <v>245</v>
      </c>
      <c r="J41" s="53"/>
    </row>
    <row r="42" spans="1:10" x14ac:dyDescent="0.25">
      <c r="A42" s="37" t="str">
        <f>Sheet1!$A$18</f>
        <v>ZED OMNIFUND - FONDO PENSIONE APERTO</v>
      </c>
      <c r="B42" s="38" t="s">
        <v>131</v>
      </c>
      <c r="C42" s="43" t="s">
        <v>88</v>
      </c>
      <c r="D42" s="44">
        <v>0.70579999999999998</v>
      </c>
      <c r="E42" s="44">
        <v>0.29420000000000002</v>
      </c>
      <c r="F42" s="44">
        <v>3.5699999999999996E-2</v>
      </c>
      <c r="G42" s="45">
        <v>10</v>
      </c>
      <c r="H42" s="44">
        <v>1.8000000000000002E-2</v>
      </c>
      <c r="I42" s="55" t="s">
        <v>245</v>
      </c>
      <c r="J42" s="52" t="s">
        <v>132</v>
      </c>
    </row>
    <row r="43" spans="1:10" x14ac:dyDescent="0.25">
      <c r="A43" s="39" t="str">
        <f>Sheet1!$A$18</f>
        <v>ZED OMNIFUND - FONDO PENSIONE APERTO</v>
      </c>
      <c r="B43" s="40" t="s">
        <v>133</v>
      </c>
      <c r="C43" s="46" t="s">
        <v>90</v>
      </c>
      <c r="D43" s="47">
        <v>0.31240000000000001</v>
      </c>
      <c r="E43" s="47">
        <v>0.6876000000000001</v>
      </c>
      <c r="F43" s="47">
        <v>1.32E-2</v>
      </c>
      <c r="G43" s="48">
        <v>10</v>
      </c>
      <c r="H43" s="47">
        <v>1.38E-2</v>
      </c>
      <c r="I43" s="56" t="s">
        <v>245</v>
      </c>
      <c r="J43" s="53"/>
    </row>
    <row r="44" spans="1:10" x14ac:dyDescent="0.25">
      <c r="A44" s="37" t="str">
        <f>Sheet1!$A$18</f>
        <v>ZED OMNIFUND - FONDO PENSIONE APERTO</v>
      </c>
      <c r="B44" s="38" t="s">
        <v>134</v>
      </c>
      <c r="C44" s="43" t="s">
        <v>92</v>
      </c>
      <c r="D44" s="44">
        <v>0</v>
      </c>
      <c r="E44" s="44">
        <v>1</v>
      </c>
      <c r="F44" s="44">
        <v>-5.6000000000000008E-3</v>
      </c>
      <c r="G44" s="45">
        <v>10</v>
      </c>
      <c r="H44" s="44">
        <v>9.0000000000000011E-3</v>
      </c>
      <c r="I44" s="55" t="s">
        <v>245</v>
      </c>
      <c r="J44" s="52"/>
    </row>
    <row r="45" spans="1:10" ht="26.25" x14ac:dyDescent="0.25">
      <c r="A45" s="39" t="str">
        <f>Sheet1!$A$18</f>
        <v>ZED OMNIFUND - FONDO PENSIONE APERTO</v>
      </c>
      <c r="B45" s="40" t="s">
        <v>98</v>
      </c>
      <c r="C45" s="46" t="s">
        <v>99</v>
      </c>
      <c r="D45" s="47">
        <v>0</v>
      </c>
      <c r="E45" s="47">
        <v>1</v>
      </c>
      <c r="F45" s="47">
        <v>-1.06E-2</v>
      </c>
      <c r="G45" s="48">
        <v>10</v>
      </c>
      <c r="H45" s="47">
        <v>1.8000000000000002E-2</v>
      </c>
      <c r="I45" s="56" t="s">
        <v>245</v>
      </c>
      <c r="J45" s="53" t="s">
        <v>135</v>
      </c>
    </row>
    <row r="46" spans="1:10" x14ac:dyDescent="0.25">
      <c r="A46" s="37" t="str">
        <f>Sheet1!$A$19</f>
        <v>PLURIFONDS IL FONDO PENSIONE APERTO DI ITAS VITA</v>
      </c>
      <c r="B46" s="38" t="s">
        <v>136</v>
      </c>
      <c r="C46" s="43" t="s">
        <v>88</v>
      </c>
      <c r="D46" s="44">
        <v>0.68</v>
      </c>
      <c r="E46" s="44">
        <v>0.32</v>
      </c>
      <c r="F46" s="44">
        <v>4.2500000000000003E-2</v>
      </c>
      <c r="G46" s="45">
        <v>10</v>
      </c>
      <c r="H46" s="44">
        <v>1.4999999999999999E-2</v>
      </c>
      <c r="I46" s="55" t="s">
        <v>245</v>
      </c>
      <c r="J46" s="52"/>
    </row>
    <row r="47" spans="1:10" x14ac:dyDescent="0.25">
      <c r="A47" s="39" t="str">
        <f>Sheet1!$A$19</f>
        <v>PLURIFONDS IL FONDO PENSIONE APERTO DI ITAS VITA</v>
      </c>
      <c r="B47" s="40" t="s">
        <v>137</v>
      </c>
      <c r="C47" s="46" t="s">
        <v>90</v>
      </c>
      <c r="D47" s="47">
        <v>0.49</v>
      </c>
      <c r="E47" s="47">
        <v>0.51</v>
      </c>
      <c r="F47" s="47">
        <v>3.2000000000000001E-2</v>
      </c>
      <c r="G47" s="48">
        <v>10</v>
      </c>
      <c r="H47" s="47">
        <v>1.15E-2</v>
      </c>
      <c r="I47" s="56" t="s">
        <v>245</v>
      </c>
      <c r="J47" s="53"/>
    </row>
    <row r="48" spans="1:10" x14ac:dyDescent="0.25">
      <c r="A48" s="37" t="str">
        <f>Sheet1!$A$19</f>
        <v>PLURIFONDS IL FONDO PENSIONE APERTO DI ITAS VITA</v>
      </c>
      <c r="B48" s="38" t="s">
        <v>138</v>
      </c>
      <c r="C48" s="43" t="s">
        <v>90</v>
      </c>
      <c r="D48" s="44">
        <v>0.28999999999999998</v>
      </c>
      <c r="E48" s="44">
        <v>0.71</v>
      </c>
      <c r="F48" s="44">
        <v>1.4E-2</v>
      </c>
      <c r="G48" s="45">
        <v>10</v>
      </c>
      <c r="H48" s="44">
        <v>1.0500000000000001E-2</v>
      </c>
      <c r="I48" s="55" t="s">
        <v>245</v>
      </c>
      <c r="J48" s="52"/>
    </row>
    <row r="49" spans="1:10" x14ac:dyDescent="0.25">
      <c r="A49" s="39" t="str">
        <f>Sheet1!$A$19</f>
        <v>PLURIFONDS IL FONDO PENSIONE APERTO DI ITAS VITA</v>
      </c>
      <c r="B49" s="40" t="s">
        <v>139</v>
      </c>
      <c r="C49" s="46" t="s">
        <v>99</v>
      </c>
      <c r="D49" s="47">
        <v>0.1</v>
      </c>
      <c r="E49" s="47">
        <v>0.9</v>
      </c>
      <c r="F49" s="47">
        <v>7.7000000000000002E-3</v>
      </c>
      <c r="G49" s="48">
        <v>10</v>
      </c>
      <c r="H49" s="47">
        <v>8.0000000000000002E-3</v>
      </c>
      <c r="I49" s="56" t="s">
        <v>245</v>
      </c>
      <c r="J49" s="53"/>
    </row>
    <row r="50" spans="1:10" x14ac:dyDescent="0.25">
      <c r="A50" s="37" t="str">
        <f>Sheet1!$A$19</f>
        <v>PLURIFONDS IL FONDO PENSIONE APERTO DI ITAS VITA</v>
      </c>
      <c r="B50" s="38" t="s">
        <v>140</v>
      </c>
      <c r="C50" s="43" t="s">
        <v>99</v>
      </c>
      <c r="D50" s="44">
        <v>0.05</v>
      </c>
      <c r="E50" s="44">
        <v>0.95</v>
      </c>
      <c r="F50" s="44">
        <v>2.5000000000000001E-3</v>
      </c>
      <c r="G50" s="45">
        <v>10</v>
      </c>
      <c r="H50" s="44">
        <v>0.01</v>
      </c>
      <c r="I50" s="55" t="s">
        <v>245</v>
      </c>
      <c r="J50" s="52"/>
    </row>
    <row r="51" spans="1:10" x14ac:dyDescent="0.25">
      <c r="A51" s="39" t="str">
        <f>Sheet1!$A$20</f>
        <v>EURORISPARMIO PREVIDENZA COMPLEMENTARE FONDO PENSIONE APERTO</v>
      </c>
      <c r="B51" s="40" t="s">
        <v>141</v>
      </c>
      <c r="C51" s="46" t="s">
        <v>88</v>
      </c>
      <c r="D51" s="47">
        <v>0.76349999999999996</v>
      </c>
      <c r="E51" s="47">
        <v>0.23649999999999999</v>
      </c>
      <c r="F51" s="47">
        <v>5.0700000000000002E-2</v>
      </c>
      <c r="G51" s="48">
        <v>10</v>
      </c>
      <c r="H51" s="47">
        <v>1.4E-2</v>
      </c>
      <c r="I51" s="56" t="s">
        <v>245</v>
      </c>
      <c r="J51" s="53"/>
    </row>
    <row r="52" spans="1:10" x14ac:dyDescent="0.25">
      <c r="A52" s="37" t="str">
        <f>Sheet1!$A$20</f>
        <v>EURORISPARMIO PREVIDENZA COMPLEMENTARE FONDO PENSIONE APERTO</v>
      </c>
      <c r="B52" s="38" t="s">
        <v>142</v>
      </c>
      <c r="C52" s="43" t="s">
        <v>88</v>
      </c>
      <c r="D52" s="44">
        <v>0.73919999999999997</v>
      </c>
      <c r="E52" s="44">
        <v>0.26079999999999998</v>
      </c>
      <c r="F52" s="44">
        <v>6.0299999999999999E-2</v>
      </c>
      <c r="G52" s="45">
        <v>10</v>
      </c>
      <c r="H52" s="44">
        <v>1.4E-2</v>
      </c>
      <c r="I52" s="55" t="s">
        <v>245</v>
      </c>
      <c r="J52" s="52"/>
    </row>
    <row r="53" spans="1:10" x14ac:dyDescent="0.25">
      <c r="A53" s="39" t="str">
        <f>Sheet1!$A$20</f>
        <v>EURORISPARMIO PREVIDENZA COMPLEMENTARE FONDO PENSIONE APERTO</v>
      </c>
      <c r="B53" s="40" t="s">
        <v>118</v>
      </c>
      <c r="C53" s="46" t="s">
        <v>90</v>
      </c>
      <c r="D53" s="47">
        <v>0.36280000000000001</v>
      </c>
      <c r="E53" s="47">
        <v>0.63719999999999999</v>
      </c>
      <c r="F53" s="47">
        <v>2.1999999999999999E-2</v>
      </c>
      <c r="G53" s="48">
        <v>10</v>
      </c>
      <c r="H53" s="47">
        <v>1.2E-2</v>
      </c>
      <c r="I53" s="56" t="s">
        <v>245</v>
      </c>
      <c r="J53" s="53"/>
    </row>
    <row r="54" spans="1:10" x14ac:dyDescent="0.25">
      <c r="A54" s="37" t="str">
        <f>Sheet1!$A$20</f>
        <v>EURORISPARMIO PREVIDENZA COMPLEMENTARE FONDO PENSIONE APERTO</v>
      </c>
      <c r="B54" s="38" t="s">
        <v>143</v>
      </c>
      <c r="C54" s="43" t="s">
        <v>92</v>
      </c>
      <c r="D54" s="44">
        <v>3.7499999999999999E-2</v>
      </c>
      <c r="E54" s="44">
        <v>0.96250000000000002</v>
      </c>
      <c r="F54" s="44">
        <v>8.0000000000000002E-3</v>
      </c>
      <c r="G54" s="45">
        <v>10</v>
      </c>
      <c r="H54" s="44">
        <v>6.0000000000000001E-3</v>
      </c>
      <c r="I54" s="55" t="s">
        <v>245</v>
      </c>
      <c r="J54" s="52"/>
    </row>
    <row r="55" spans="1:10" x14ac:dyDescent="0.25">
      <c r="A55" s="39" t="str">
        <f>Sheet1!$A$20</f>
        <v>EURORISPARMIO PREVIDENZA COMPLEMENTARE FONDO PENSIONE APERTO</v>
      </c>
      <c r="B55" s="40" t="s">
        <v>112</v>
      </c>
      <c r="C55" s="46" t="s">
        <v>92</v>
      </c>
      <c r="D55" s="47">
        <v>0</v>
      </c>
      <c r="E55" s="47">
        <v>1</v>
      </c>
      <c r="F55" s="47">
        <v>3.8999999999999998E-3</v>
      </c>
      <c r="G55" s="48">
        <v>10</v>
      </c>
      <c r="H55" s="47">
        <v>8.0000000000000002E-3</v>
      </c>
      <c r="I55" s="56" t="s">
        <v>245</v>
      </c>
      <c r="J55" s="53"/>
    </row>
    <row r="56" spans="1:10" ht="26.25" x14ac:dyDescent="0.25">
      <c r="A56" s="37" t="str">
        <f>Sheet1!$A$21</f>
        <v>FONDO PENSIONE APERTO AUREO</v>
      </c>
      <c r="B56" s="38" t="s">
        <v>144</v>
      </c>
      <c r="C56" s="43" t="s">
        <v>92</v>
      </c>
      <c r="D56" s="44">
        <v>1</v>
      </c>
      <c r="E56" s="44">
        <v>0</v>
      </c>
      <c r="F56" s="44">
        <v>2.5000000000000001E-3</v>
      </c>
      <c r="G56" s="45">
        <v>10</v>
      </c>
      <c r="H56" s="44">
        <v>5.0000000000000001E-3</v>
      </c>
      <c r="I56" s="55" t="s">
        <v>245</v>
      </c>
      <c r="J56" s="58" t="s">
        <v>145</v>
      </c>
    </row>
    <row r="57" spans="1:10" ht="26.25" x14ac:dyDescent="0.25">
      <c r="A57" s="39" t="str">
        <f>Sheet1!$A$21</f>
        <v>FONDO PENSIONE APERTO AUREO</v>
      </c>
      <c r="B57" s="40" t="s">
        <v>146</v>
      </c>
      <c r="C57" s="46" t="s">
        <v>92</v>
      </c>
      <c r="D57" s="47">
        <v>1</v>
      </c>
      <c r="E57" s="47">
        <v>0</v>
      </c>
      <c r="F57" s="47">
        <v>2.1600000000000001E-2</v>
      </c>
      <c r="G57" s="48">
        <v>3</v>
      </c>
      <c r="H57" s="47">
        <v>5.0000000000000001E-3</v>
      </c>
      <c r="I57" s="56" t="s">
        <v>245</v>
      </c>
      <c r="J57" s="58" t="s">
        <v>147</v>
      </c>
    </row>
    <row r="58" spans="1:10" x14ac:dyDescent="0.25">
      <c r="A58" s="37" t="str">
        <f>Sheet1!$A$21</f>
        <v>FONDO PENSIONE APERTO AUREO</v>
      </c>
      <c r="B58" s="38" t="s">
        <v>148</v>
      </c>
      <c r="C58" s="43" t="s">
        <v>88</v>
      </c>
      <c r="D58" s="44">
        <v>0.92769999999999997</v>
      </c>
      <c r="E58" s="44">
        <v>7.2300000000000003E-2</v>
      </c>
      <c r="F58" s="44">
        <v>6.1699999999999998E-2</v>
      </c>
      <c r="G58" s="45">
        <v>10</v>
      </c>
      <c r="H58" s="44">
        <v>1.4999999999999999E-2</v>
      </c>
      <c r="I58" s="55" t="s">
        <v>245</v>
      </c>
      <c r="J58" s="52"/>
    </row>
    <row r="59" spans="1:10" x14ac:dyDescent="0.25">
      <c r="A59" s="39" t="str">
        <f>Sheet1!$A$21</f>
        <v>FONDO PENSIONE APERTO AUREO</v>
      </c>
      <c r="B59" s="40" t="s">
        <v>149</v>
      </c>
      <c r="C59" s="46" t="s">
        <v>90</v>
      </c>
      <c r="D59" s="47">
        <v>0.45739999999999997</v>
      </c>
      <c r="E59" s="47">
        <v>0.54259999999999997</v>
      </c>
      <c r="F59" s="47">
        <v>3.1099999999999999E-2</v>
      </c>
      <c r="G59" s="48">
        <v>10</v>
      </c>
      <c r="H59" s="47">
        <v>1.2E-2</v>
      </c>
      <c r="I59" s="56" t="s">
        <v>245</v>
      </c>
      <c r="J59" s="53"/>
    </row>
    <row r="60" spans="1:10" x14ac:dyDescent="0.25">
      <c r="A60" s="37" t="str">
        <f>Sheet1!$A$21</f>
        <v>FONDO PENSIONE APERTO AUREO</v>
      </c>
      <c r="B60" s="38" t="s">
        <v>150</v>
      </c>
      <c r="C60" s="43" t="s">
        <v>99</v>
      </c>
      <c r="D60" s="44">
        <v>0</v>
      </c>
      <c r="E60" s="44">
        <v>1</v>
      </c>
      <c r="F60" s="44">
        <v>-3.8E-3</v>
      </c>
      <c r="G60" s="45">
        <v>10</v>
      </c>
      <c r="H60" s="44">
        <v>9.0000000000000011E-3</v>
      </c>
      <c r="I60" s="55" t="s">
        <v>245</v>
      </c>
      <c r="J60" s="52"/>
    </row>
    <row r="61" spans="1:10" x14ac:dyDescent="0.25">
      <c r="A61" s="39" t="str">
        <f>Sheet1!$A$22</f>
        <v>FONDO PENSIONE APERTO CREDIT AGRICOLE VITA</v>
      </c>
      <c r="B61" s="40" t="s">
        <v>151</v>
      </c>
      <c r="C61" s="46" t="s">
        <v>88</v>
      </c>
      <c r="D61" s="47">
        <v>0.76639999999999997</v>
      </c>
      <c r="E61" s="47">
        <v>0.2336</v>
      </c>
      <c r="F61" s="47">
        <v>5.6900000000000006E-2</v>
      </c>
      <c r="G61" s="48">
        <v>10</v>
      </c>
      <c r="H61" s="47">
        <v>1.4E-2</v>
      </c>
      <c r="I61" s="56" t="s">
        <v>245</v>
      </c>
      <c r="J61" s="53"/>
    </row>
    <row r="62" spans="1:10" x14ac:dyDescent="0.25">
      <c r="A62" s="37" t="str">
        <f>Sheet1!$A$22</f>
        <v>FONDO PENSIONE APERTO CREDIT AGRICOLE VITA</v>
      </c>
      <c r="B62" s="38" t="s">
        <v>152</v>
      </c>
      <c r="C62" s="43" t="s">
        <v>90</v>
      </c>
      <c r="D62" s="44">
        <v>0.51749999999999996</v>
      </c>
      <c r="E62" s="44">
        <v>0.48249999999999998</v>
      </c>
      <c r="F62" s="44">
        <v>3.3700000000000001E-2</v>
      </c>
      <c r="G62" s="45">
        <v>10</v>
      </c>
      <c r="H62" s="44">
        <v>1.2E-2</v>
      </c>
      <c r="I62" s="55" t="s">
        <v>245</v>
      </c>
      <c r="J62" s="52"/>
    </row>
    <row r="63" spans="1:10" x14ac:dyDescent="0.25">
      <c r="A63" s="39" t="str">
        <f>Sheet1!$A$22</f>
        <v>FONDO PENSIONE APERTO CREDIT AGRICOLE VITA</v>
      </c>
      <c r="B63" s="40" t="s">
        <v>153</v>
      </c>
      <c r="C63" s="46" t="s">
        <v>90</v>
      </c>
      <c r="D63" s="47">
        <v>0.16250000000000001</v>
      </c>
      <c r="E63" s="47">
        <v>0.83750000000000002</v>
      </c>
      <c r="F63" s="47">
        <v>8.199999999999999E-3</v>
      </c>
      <c r="G63" s="48">
        <v>10</v>
      </c>
      <c r="H63" s="47">
        <v>1.15E-2</v>
      </c>
      <c r="I63" s="56" t="s">
        <v>245</v>
      </c>
      <c r="J63" s="53" t="s">
        <v>154</v>
      </c>
    </row>
    <row r="64" spans="1:10" ht="26.25" x14ac:dyDescent="0.25">
      <c r="A64" s="37" t="str">
        <f>Sheet1!$A$23</f>
        <v>ARTI &amp; MESTIERI - FONDO PENSIONE APERTO</v>
      </c>
      <c r="B64" s="38" t="s">
        <v>155</v>
      </c>
      <c r="C64" s="43" t="s">
        <v>92</v>
      </c>
      <c r="D64" s="44">
        <v>1</v>
      </c>
      <c r="E64" s="44">
        <v>0</v>
      </c>
      <c r="F64" s="44">
        <v>2.0999999999999999E-3</v>
      </c>
      <c r="G64" s="45">
        <v>10</v>
      </c>
      <c r="H64" s="44">
        <v>6.0000000000000001E-3</v>
      </c>
      <c r="I64" s="55" t="s">
        <v>245</v>
      </c>
      <c r="J64" s="58" t="s">
        <v>156</v>
      </c>
    </row>
    <row r="65" spans="1:10" x14ac:dyDescent="0.25">
      <c r="A65" s="39" t="str">
        <f>Sheet1!$A$23</f>
        <v>ARTI &amp; MESTIERI - FONDO PENSIONE APERTO</v>
      </c>
      <c r="B65" s="40" t="s">
        <v>157</v>
      </c>
      <c r="C65" s="46" t="s">
        <v>88</v>
      </c>
      <c r="D65" s="47">
        <v>0.82250000000000001</v>
      </c>
      <c r="E65" s="47">
        <v>0.17749999999999999</v>
      </c>
      <c r="F65" s="47">
        <v>6.0599999999999994E-2</v>
      </c>
      <c r="G65" s="48">
        <v>10</v>
      </c>
      <c r="H65" s="47">
        <v>1.6E-2</v>
      </c>
      <c r="I65" s="56" t="s">
        <v>245</v>
      </c>
      <c r="J65" s="53"/>
    </row>
    <row r="66" spans="1:10" x14ac:dyDescent="0.25">
      <c r="A66" s="37" t="str">
        <f>Sheet1!$A$23</f>
        <v>ARTI &amp; MESTIERI - FONDO PENSIONE APERTO</v>
      </c>
      <c r="B66" s="38" t="s">
        <v>158</v>
      </c>
      <c r="C66" s="43" t="s">
        <v>90</v>
      </c>
      <c r="D66" s="44">
        <v>0.41560000000000002</v>
      </c>
      <c r="E66" s="44">
        <v>0.58440000000000003</v>
      </c>
      <c r="F66" s="44">
        <v>2.6100000000000002E-2</v>
      </c>
      <c r="G66" s="45">
        <v>10</v>
      </c>
      <c r="H66" s="44">
        <v>1.4E-2</v>
      </c>
      <c r="I66" s="55" t="s">
        <v>245</v>
      </c>
      <c r="J66" s="52"/>
    </row>
    <row r="67" spans="1:10" x14ac:dyDescent="0.25">
      <c r="A67" s="39" t="str">
        <f>Sheet1!$A$23</f>
        <v>ARTI &amp; MESTIERI - FONDO PENSIONE APERTO</v>
      </c>
      <c r="B67" s="40" t="s">
        <v>159</v>
      </c>
      <c r="C67" s="46" t="s">
        <v>90</v>
      </c>
      <c r="D67" s="47">
        <v>0.2109</v>
      </c>
      <c r="E67" s="47">
        <v>0.78909999999999991</v>
      </c>
      <c r="F67" s="47">
        <v>1.23E-2</v>
      </c>
      <c r="G67" s="48">
        <v>10</v>
      </c>
      <c r="H67" s="47">
        <v>1.0999999999999999E-2</v>
      </c>
      <c r="I67" s="56" t="s">
        <v>245</v>
      </c>
      <c r="J67" s="53"/>
    </row>
    <row r="68" spans="1:10" x14ac:dyDescent="0.25">
      <c r="A68" s="37" t="str">
        <f>Sheet1!$A$23</f>
        <v>ARTI &amp; MESTIERI - FONDO PENSIONE APERTO</v>
      </c>
      <c r="B68" s="38" t="s">
        <v>160</v>
      </c>
      <c r="C68" s="43" t="s">
        <v>90</v>
      </c>
      <c r="D68" s="44">
        <v>0.19370000000000001</v>
      </c>
      <c r="E68" s="44">
        <v>0.80629999999999991</v>
      </c>
      <c r="F68" s="44">
        <v>1.6299999999999999E-2</v>
      </c>
      <c r="G68" s="45">
        <v>10</v>
      </c>
      <c r="H68" s="44">
        <v>6.9999999999999993E-3</v>
      </c>
      <c r="I68" s="55" t="s">
        <v>245</v>
      </c>
      <c r="J68" s="52"/>
    </row>
    <row r="69" spans="1:10" x14ac:dyDescent="0.25">
      <c r="A69" s="39" t="str">
        <f>Sheet1!$A$23</f>
        <v>ARTI &amp; MESTIERI - FONDO PENSIONE APERTO</v>
      </c>
      <c r="B69" s="40" t="s">
        <v>161</v>
      </c>
      <c r="C69" s="46" t="s">
        <v>92</v>
      </c>
      <c r="D69" s="47">
        <v>0</v>
      </c>
      <c r="E69" s="47">
        <v>1</v>
      </c>
      <c r="F69" s="47">
        <v>-2.0999999999999999E-3</v>
      </c>
      <c r="G69" s="48">
        <v>10</v>
      </c>
      <c r="H69" s="47">
        <v>9.0000000000000011E-3</v>
      </c>
      <c r="I69" s="56" t="s">
        <v>245</v>
      </c>
      <c r="J69" s="53"/>
    </row>
    <row r="70" spans="1:10" x14ac:dyDescent="0.25">
      <c r="A70" s="37" t="str">
        <f>Sheet1!$A$24</f>
        <v>SECONDAPENSIONE FONDO PENSIONE APERTO</v>
      </c>
      <c r="B70" s="38" t="s">
        <v>162</v>
      </c>
      <c r="C70" s="43" t="s">
        <v>88</v>
      </c>
      <c r="D70" s="44">
        <v>0.81</v>
      </c>
      <c r="E70" s="44">
        <v>0.19</v>
      </c>
      <c r="F70" s="44">
        <v>5.3600000000000002E-2</v>
      </c>
      <c r="G70" s="45">
        <v>10</v>
      </c>
      <c r="H70" s="44">
        <v>8.0000000000000002E-3</v>
      </c>
      <c r="I70" s="55" t="s">
        <v>245</v>
      </c>
      <c r="J70" s="52"/>
    </row>
    <row r="71" spans="1:10" x14ac:dyDescent="0.25">
      <c r="A71" s="39" t="str">
        <f>Sheet1!$A$24</f>
        <v>SECONDAPENSIONE FONDO PENSIONE APERTO</v>
      </c>
      <c r="B71" s="40" t="s">
        <v>163</v>
      </c>
      <c r="C71" s="46" t="s">
        <v>90</v>
      </c>
      <c r="D71" s="47">
        <v>0.52</v>
      </c>
      <c r="E71" s="47">
        <v>0.48</v>
      </c>
      <c r="F71" s="47">
        <v>3.5400000000000001E-2</v>
      </c>
      <c r="G71" s="48">
        <v>10</v>
      </c>
      <c r="H71" s="47">
        <v>6.9999999999999993E-3</v>
      </c>
      <c r="I71" s="56" t="s">
        <v>245</v>
      </c>
      <c r="J71" s="53"/>
    </row>
    <row r="72" spans="1:10" x14ac:dyDescent="0.25">
      <c r="A72" s="37" t="str">
        <f>Sheet1!$A$24</f>
        <v>SECONDAPENSIONE FONDO PENSIONE APERTO</v>
      </c>
      <c r="B72" s="38" t="s">
        <v>164</v>
      </c>
      <c r="C72" s="43" t="s">
        <v>90</v>
      </c>
      <c r="D72" s="44">
        <v>0.31</v>
      </c>
      <c r="E72" s="44">
        <v>0.69</v>
      </c>
      <c r="F72" s="44">
        <v>2.2700000000000001E-2</v>
      </c>
      <c r="G72" s="45">
        <v>10</v>
      </c>
      <c r="H72" s="44">
        <v>6.5000000000000006E-3</v>
      </c>
      <c r="I72" s="55" t="s">
        <v>245</v>
      </c>
      <c r="J72" s="52"/>
    </row>
    <row r="73" spans="1:10" x14ac:dyDescent="0.25">
      <c r="A73" s="39" t="str">
        <f>Sheet1!$A$24</f>
        <v>SECONDAPENSIONE FONDO PENSIONE APERTO</v>
      </c>
      <c r="B73" s="40" t="s">
        <v>146</v>
      </c>
      <c r="C73" s="46" t="s">
        <v>99</v>
      </c>
      <c r="D73" s="47">
        <v>0.18</v>
      </c>
      <c r="E73" s="47">
        <v>0.82</v>
      </c>
      <c r="F73" s="47">
        <v>9.7999999999999997E-3</v>
      </c>
      <c r="G73" s="48">
        <v>10</v>
      </c>
      <c r="H73" s="47">
        <v>6.0000000000000001E-3</v>
      </c>
      <c r="I73" s="56" t="s">
        <v>245</v>
      </c>
      <c r="J73" s="53"/>
    </row>
    <row r="74" spans="1:10" x14ac:dyDescent="0.25">
      <c r="A74" s="37" t="str">
        <f>Sheet1!$A$24</f>
        <v>SECONDAPENSIONE FONDO PENSIONE APERTO</v>
      </c>
      <c r="B74" s="38" t="s">
        <v>165</v>
      </c>
      <c r="C74" s="43" t="s">
        <v>121</v>
      </c>
      <c r="D74" s="44">
        <v>0.05</v>
      </c>
      <c r="E74" s="44">
        <v>0.95</v>
      </c>
      <c r="F74" s="44">
        <v>5.3E-3</v>
      </c>
      <c r="G74" s="45">
        <v>10</v>
      </c>
      <c r="H74" s="44">
        <v>6.9999999999999993E-3</v>
      </c>
      <c r="I74" s="55" t="s">
        <v>245</v>
      </c>
      <c r="J74" s="52"/>
    </row>
    <row r="75" spans="1:10" x14ac:dyDescent="0.25">
      <c r="A75" s="39" t="str">
        <f>Sheet1!$A$26</f>
        <v>PROGRAMMA OPEN FONDO PENSIONE APERTO</v>
      </c>
      <c r="B75" s="40" t="s">
        <v>166</v>
      </c>
      <c r="C75" s="46" t="s">
        <v>90</v>
      </c>
      <c r="D75" s="47">
        <v>0.56000000000000005</v>
      </c>
      <c r="E75" s="47">
        <v>0.44</v>
      </c>
      <c r="F75" s="47">
        <v>2.1999999999999999E-2</v>
      </c>
      <c r="G75" s="48">
        <v>10</v>
      </c>
      <c r="H75" s="47">
        <v>1.2999999999999999E-2</v>
      </c>
      <c r="I75" s="56" t="s">
        <v>245</v>
      </c>
      <c r="J75" s="53" t="s">
        <v>167</v>
      </c>
    </row>
    <row r="76" spans="1:10" ht="26.25" x14ac:dyDescent="0.25">
      <c r="A76" s="37" t="str">
        <f>Sheet1!$A$26</f>
        <v>PROGRAMMA OPEN FONDO PENSIONE APERTO</v>
      </c>
      <c r="B76" s="38" t="s">
        <v>168</v>
      </c>
      <c r="C76" s="43" t="s">
        <v>88</v>
      </c>
      <c r="D76" s="44">
        <v>0.3</v>
      </c>
      <c r="E76" s="44">
        <v>0.7</v>
      </c>
      <c r="F76" s="44">
        <v>3.9199999999999999E-2</v>
      </c>
      <c r="G76" s="45">
        <v>10</v>
      </c>
      <c r="H76" s="44">
        <v>1.4999999999999999E-2</v>
      </c>
      <c r="I76" s="55" t="s">
        <v>245</v>
      </c>
      <c r="J76" s="58" t="s">
        <v>169</v>
      </c>
    </row>
    <row r="77" spans="1:10" ht="26.25" x14ac:dyDescent="0.25">
      <c r="A77" s="39" t="str">
        <f>Sheet1!$A$26</f>
        <v>PROGRAMMA OPEN FONDO PENSIONE APERTO</v>
      </c>
      <c r="B77" s="40" t="s">
        <v>170</v>
      </c>
      <c r="C77" s="46" t="s">
        <v>99</v>
      </c>
      <c r="D77" s="47">
        <v>0.05</v>
      </c>
      <c r="E77" s="47">
        <v>0.95</v>
      </c>
      <c r="F77" s="47"/>
      <c r="G77" s="48"/>
      <c r="H77" s="47"/>
      <c r="I77" s="56" t="s">
        <v>245</v>
      </c>
      <c r="J77" s="53" t="s">
        <v>171</v>
      </c>
    </row>
    <row r="78" spans="1:10" x14ac:dyDescent="0.25">
      <c r="A78" s="37" t="str">
        <f>Sheet1!$A$28</f>
        <v>AZIMUT PREVIDENZA - FONDO PENSIONE APERTO</v>
      </c>
      <c r="B78" s="38" t="s">
        <v>95</v>
      </c>
      <c r="C78" s="43" t="s">
        <v>88</v>
      </c>
      <c r="D78" s="44">
        <v>0.86</v>
      </c>
      <c r="E78" s="44">
        <v>0.14000000000000001</v>
      </c>
      <c r="F78" s="44">
        <v>3.3799999999999997E-2</v>
      </c>
      <c r="G78" s="45">
        <v>10</v>
      </c>
      <c r="H78" s="44">
        <v>1.8000000000000002E-2</v>
      </c>
      <c r="I78" s="55" t="s">
        <v>245</v>
      </c>
      <c r="J78" s="52"/>
    </row>
    <row r="79" spans="1:10" x14ac:dyDescent="0.25">
      <c r="A79" s="39" t="str">
        <f>Sheet1!$A$28</f>
        <v>AZIMUT PREVIDENZA - FONDO PENSIONE APERTO</v>
      </c>
      <c r="B79" s="40" t="s">
        <v>172</v>
      </c>
      <c r="C79" s="46" t="s">
        <v>90</v>
      </c>
      <c r="D79" s="47">
        <v>0.59</v>
      </c>
      <c r="E79" s="47">
        <v>0.41</v>
      </c>
      <c r="F79" s="47">
        <v>2.7699999999999999E-2</v>
      </c>
      <c r="G79" s="48">
        <v>10</v>
      </c>
      <c r="H79" s="47">
        <v>1.4999999999999999E-2</v>
      </c>
      <c r="I79" s="56" t="s">
        <v>245</v>
      </c>
      <c r="J79" s="53"/>
    </row>
    <row r="80" spans="1:10" x14ac:dyDescent="0.25">
      <c r="A80" s="37" t="str">
        <f>Sheet1!$A$28</f>
        <v>AZIMUT PREVIDENZA - FONDO PENSIONE APERTO</v>
      </c>
      <c r="B80" s="38" t="s">
        <v>112</v>
      </c>
      <c r="C80" s="43" t="s">
        <v>92</v>
      </c>
      <c r="D80" s="44">
        <v>0</v>
      </c>
      <c r="E80" s="44">
        <v>1</v>
      </c>
      <c r="F80" s="44">
        <v>1.14E-2</v>
      </c>
      <c r="G80" s="45">
        <v>10</v>
      </c>
      <c r="H80" s="44">
        <v>0.01</v>
      </c>
      <c r="I80" s="55" t="s">
        <v>245</v>
      </c>
      <c r="J80" s="52"/>
    </row>
    <row r="81" spans="1:10" x14ac:dyDescent="0.25">
      <c r="A81" s="39" t="str">
        <f>Sheet1!$A$29</f>
        <v>AZIONE DI PREVIDENZA - FONDO PENSIONE APERTO</v>
      </c>
      <c r="B81" s="40" t="s">
        <v>128</v>
      </c>
      <c r="C81" s="46" t="s">
        <v>88</v>
      </c>
      <c r="D81" s="47">
        <v>0.86</v>
      </c>
      <c r="E81" s="47">
        <v>0.14000000000000001</v>
      </c>
      <c r="F81" s="47">
        <v>5.2900000000000003E-2</v>
      </c>
      <c r="G81" s="48">
        <v>10</v>
      </c>
      <c r="H81" s="47">
        <v>1.8000000000000002E-2</v>
      </c>
      <c r="I81" s="56" t="s">
        <v>245</v>
      </c>
      <c r="J81" s="53"/>
    </row>
    <row r="82" spans="1:10" x14ac:dyDescent="0.25">
      <c r="A82" s="37" t="str">
        <f>Sheet1!$A$29</f>
        <v>AZIONE DI PREVIDENZA - FONDO PENSIONE APERTO</v>
      </c>
      <c r="B82" s="38" t="s">
        <v>173</v>
      </c>
      <c r="C82" s="43" t="s">
        <v>90</v>
      </c>
      <c r="D82" s="44">
        <v>0.42</v>
      </c>
      <c r="E82" s="44">
        <v>0.57999999999999996</v>
      </c>
      <c r="F82" s="44">
        <v>2.9100000000000001E-2</v>
      </c>
      <c r="G82" s="45">
        <v>10</v>
      </c>
      <c r="H82" s="44">
        <v>1.4E-2</v>
      </c>
      <c r="I82" s="55" t="s">
        <v>245</v>
      </c>
      <c r="J82" s="52"/>
    </row>
    <row r="83" spans="1:10" x14ac:dyDescent="0.25">
      <c r="A83" s="39" t="str">
        <f>Sheet1!$A$29</f>
        <v>AZIONE DI PREVIDENZA - FONDO PENSIONE APERTO</v>
      </c>
      <c r="B83" s="40" t="s">
        <v>98</v>
      </c>
      <c r="C83" s="46" t="s">
        <v>92</v>
      </c>
      <c r="D83" s="47">
        <v>0.04</v>
      </c>
      <c r="E83" s="47">
        <v>0.96</v>
      </c>
      <c r="F83" s="47">
        <v>1.41E-2</v>
      </c>
      <c r="G83" s="48">
        <v>10</v>
      </c>
      <c r="H83" s="47">
        <v>6.9999999999999993E-3</v>
      </c>
      <c r="I83" s="56" t="s">
        <v>245</v>
      </c>
      <c r="J83" s="53"/>
    </row>
    <row r="84" spans="1:10" x14ac:dyDescent="0.25">
      <c r="A84" s="37" t="str">
        <f>Sheet1!$A$29</f>
        <v>AZIONE DI PREVIDENZA - FONDO PENSIONE APERTO</v>
      </c>
      <c r="B84" s="38" t="s">
        <v>174</v>
      </c>
      <c r="C84" s="43" t="s">
        <v>92</v>
      </c>
      <c r="D84" s="44">
        <v>0</v>
      </c>
      <c r="E84" s="44">
        <v>1</v>
      </c>
      <c r="F84" s="44">
        <v>1.09E-2</v>
      </c>
      <c r="G84" s="45">
        <v>10</v>
      </c>
      <c r="H84" s="44">
        <v>0.01</v>
      </c>
      <c r="I84" s="55" t="s">
        <v>245</v>
      </c>
      <c r="J84" s="52"/>
    </row>
    <row r="85" spans="1:10" ht="26.25" x14ac:dyDescent="0.25">
      <c r="A85" s="39" t="str">
        <f>Sheet1!$A$30</f>
        <v>FONDO PENSIONE APERTO CNP</v>
      </c>
      <c r="B85" s="40" t="s">
        <v>175</v>
      </c>
      <c r="C85" s="46" t="s">
        <v>99</v>
      </c>
      <c r="D85" s="47">
        <v>0.95</v>
      </c>
      <c r="E85" s="47">
        <v>0.05</v>
      </c>
      <c r="F85" s="47">
        <v>8.0000000000000002E-3</v>
      </c>
      <c r="G85" s="48">
        <v>10</v>
      </c>
      <c r="H85" s="47">
        <v>1.0999999999999999E-2</v>
      </c>
      <c r="I85" s="56" t="s">
        <v>245</v>
      </c>
      <c r="J85" s="58" t="s">
        <v>176</v>
      </c>
    </row>
    <row r="86" spans="1:10" x14ac:dyDescent="0.25">
      <c r="A86" s="37" t="str">
        <f>Sheet1!$A$30</f>
        <v>FONDO PENSIONE APERTO CNP</v>
      </c>
      <c r="B86" s="38" t="s">
        <v>127</v>
      </c>
      <c r="C86" s="43" t="s">
        <v>88</v>
      </c>
      <c r="D86" s="44">
        <v>0.67</v>
      </c>
      <c r="E86" s="44">
        <v>0.33</v>
      </c>
      <c r="F86" s="44">
        <v>3.95E-2</v>
      </c>
      <c r="G86" s="45">
        <v>10</v>
      </c>
      <c r="H86" s="44">
        <v>1.2E-2</v>
      </c>
      <c r="I86" s="55" t="s">
        <v>245</v>
      </c>
      <c r="J86" s="52"/>
    </row>
    <row r="87" spans="1:10" x14ac:dyDescent="0.25">
      <c r="A87" s="39" t="str">
        <f>Sheet1!$A$30</f>
        <v>FONDO PENSIONE APERTO CNP</v>
      </c>
      <c r="B87" s="40" t="s">
        <v>118</v>
      </c>
      <c r="C87" s="46" t="s">
        <v>90</v>
      </c>
      <c r="D87" s="47">
        <v>0.32</v>
      </c>
      <c r="E87" s="47">
        <v>0.68</v>
      </c>
      <c r="F87" s="47">
        <v>1.72E-2</v>
      </c>
      <c r="G87" s="48">
        <v>10</v>
      </c>
      <c r="H87" s="47">
        <v>0.01</v>
      </c>
      <c r="I87" s="56" t="s">
        <v>245</v>
      </c>
      <c r="J87" s="53"/>
    </row>
    <row r="88" spans="1:10" x14ac:dyDescent="0.25">
      <c r="A88" s="37" t="str">
        <f>Sheet1!$A$30</f>
        <v>FONDO PENSIONE APERTO CNP</v>
      </c>
      <c r="B88" s="38" t="s">
        <v>112</v>
      </c>
      <c r="C88" s="43" t="s">
        <v>99</v>
      </c>
      <c r="D88" s="44">
        <v>0.16</v>
      </c>
      <c r="E88" s="44">
        <v>0.84</v>
      </c>
      <c r="F88" s="44">
        <v>8.199999999999999E-3</v>
      </c>
      <c r="G88" s="45">
        <v>10</v>
      </c>
      <c r="H88" s="44">
        <v>9.0000000000000011E-3</v>
      </c>
      <c r="I88" s="55" t="s">
        <v>245</v>
      </c>
      <c r="J88" s="52"/>
    </row>
    <row r="89" spans="1:10" x14ac:dyDescent="0.25">
      <c r="A89" s="39" t="str">
        <f>Sheet1!$A$30</f>
        <v>FONDO PENSIONE APERTO CNP</v>
      </c>
      <c r="B89" s="40" t="s">
        <v>177</v>
      </c>
      <c r="C89" s="46" t="s">
        <v>99</v>
      </c>
      <c r="D89" s="47">
        <v>0.05</v>
      </c>
      <c r="E89" s="47">
        <v>0.95</v>
      </c>
      <c r="F89" s="47">
        <v>6.1999999999999998E-3</v>
      </c>
      <c r="G89" s="48">
        <v>10</v>
      </c>
      <c r="H89" s="47">
        <v>1.2999999999999999E-2</v>
      </c>
      <c r="I89" s="56" t="s">
        <v>245</v>
      </c>
      <c r="J89" s="53"/>
    </row>
    <row r="90" spans="1:10" x14ac:dyDescent="0.25">
      <c r="A90" s="37" t="str">
        <f>Sheet1!$A$31</f>
        <v>INSIEME - FONDO PENSIONE APERTO A CONTRIBUZIONE DEFINITA</v>
      </c>
      <c r="B90" s="38" t="s">
        <v>87</v>
      </c>
      <c r="C90" s="43" t="s">
        <v>88</v>
      </c>
      <c r="D90" s="44">
        <v>0.94</v>
      </c>
      <c r="E90" s="44">
        <v>0.06</v>
      </c>
      <c r="F90" s="44">
        <v>7.4800000000000005E-2</v>
      </c>
      <c r="G90" s="45">
        <v>10</v>
      </c>
      <c r="H90" s="44">
        <v>8.0000000000000002E-3</v>
      </c>
      <c r="I90" s="55" t="s">
        <v>245</v>
      </c>
      <c r="J90" s="52"/>
    </row>
    <row r="91" spans="1:10" x14ac:dyDescent="0.25">
      <c r="A91" s="39" t="str">
        <f>Sheet1!$A$31</f>
        <v>INSIEME - FONDO PENSIONE APERTO A CONTRIBUZIONE DEFINITA</v>
      </c>
      <c r="B91" s="40" t="s">
        <v>89</v>
      </c>
      <c r="C91" s="46" t="s">
        <v>88</v>
      </c>
      <c r="D91" s="47">
        <v>0.5</v>
      </c>
      <c r="E91" s="47">
        <v>0.5</v>
      </c>
      <c r="F91" s="47">
        <v>4.0899999999999999E-2</v>
      </c>
      <c r="G91" s="48">
        <v>10</v>
      </c>
      <c r="H91" s="47">
        <v>7.4999999999999997E-3</v>
      </c>
      <c r="I91" s="56" t="s">
        <v>245</v>
      </c>
      <c r="J91" s="53" t="s">
        <v>178</v>
      </c>
    </row>
    <row r="92" spans="1:10" x14ac:dyDescent="0.25">
      <c r="A92" s="37" t="str">
        <f>Sheet1!$A$31</f>
        <v>INSIEME - FONDO PENSIONE APERTO A CONTRIBUZIONE DEFINITA</v>
      </c>
      <c r="B92" s="38" t="s">
        <v>179</v>
      </c>
      <c r="C92" s="43" t="s">
        <v>99</v>
      </c>
      <c r="D92" s="44">
        <v>0.1</v>
      </c>
      <c r="E92" s="44">
        <v>0.9</v>
      </c>
      <c r="F92" s="44">
        <v>8.3000000000000001E-3</v>
      </c>
      <c r="G92" s="45">
        <v>10</v>
      </c>
      <c r="H92" s="44">
        <v>6.9999999999999993E-3</v>
      </c>
      <c r="I92" s="55" t="s">
        <v>245</v>
      </c>
      <c r="J92" s="52"/>
    </row>
    <row r="93" spans="1:10" x14ac:dyDescent="0.25">
      <c r="A93" s="39" t="str">
        <f>Sheet1!$A$31</f>
        <v>INSIEME - FONDO PENSIONE APERTO A CONTRIBUZIONE DEFINITA</v>
      </c>
      <c r="B93" s="40" t="s">
        <v>91</v>
      </c>
      <c r="C93" s="46" t="s">
        <v>92</v>
      </c>
      <c r="D93" s="47">
        <v>0.02</v>
      </c>
      <c r="E93" s="47">
        <v>0.98</v>
      </c>
      <c r="F93" s="47">
        <v>1.4000000000000002E-3</v>
      </c>
      <c r="G93" s="48">
        <v>10</v>
      </c>
      <c r="H93" s="47">
        <v>6.0000000000000001E-3</v>
      </c>
      <c r="I93" s="56" t="s">
        <v>245</v>
      </c>
      <c r="J93" s="53"/>
    </row>
    <row r="94" spans="1:10" x14ac:dyDescent="0.25">
      <c r="A94" s="37" t="str">
        <f>Sheet1!$A$31</f>
        <v>INSIEME - FONDO PENSIONE APERTO A CONTRIBUZIONE DEFINITA</v>
      </c>
      <c r="B94" s="38" t="s">
        <v>93</v>
      </c>
      <c r="C94" s="43" t="s">
        <v>92</v>
      </c>
      <c r="D94" s="44">
        <v>0</v>
      </c>
      <c r="E94" s="44">
        <v>1</v>
      </c>
      <c r="F94" s="44">
        <v>-2E-3</v>
      </c>
      <c r="G94" s="45">
        <v>10</v>
      </c>
      <c r="H94" s="44">
        <v>6.9999999999999993E-3</v>
      </c>
      <c r="I94" s="55" t="s">
        <v>245</v>
      </c>
      <c r="J94" s="52"/>
    </row>
    <row r="95" spans="1:10" x14ac:dyDescent="0.25">
      <c r="A95" s="39" t="str">
        <f>Sheet1!$A$31</f>
        <v>INSIEME - FONDO PENSIONE APERTO A CONTRIBUZIONE DEFINITA</v>
      </c>
      <c r="B95" s="40" t="s">
        <v>94</v>
      </c>
      <c r="C95" s="46" t="s">
        <v>92</v>
      </c>
      <c r="D95" s="47">
        <v>0</v>
      </c>
      <c r="E95" s="47">
        <v>1</v>
      </c>
      <c r="F95" s="47">
        <v>3.7000000000000002E-3</v>
      </c>
      <c r="G95" s="48">
        <v>5</v>
      </c>
      <c r="H95" s="47">
        <v>5.5000000000000005E-3</v>
      </c>
      <c r="I95" s="56" t="s">
        <v>245</v>
      </c>
      <c r="J95" s="53" t="s">
        <v>110</v>
      </c>
    </row>
    <row r="96" spans="1:10" x14ac:dyDescent="0.25">
      <c r="A96" s="37" t="str">
        <f>Sheet1!$A$32</f>
        <v>FONDO PENSIONE APERTO BIM VITA</v>
      </c>
      <c r="B96" s="38" t="s">
        <v>180</v>
      </c>
      <c r="C96" s="43" t="s">
        <v>88</v>
      </c>
      <c r="D96" s="44">
        <v>0.83239999999999992</v>
      </c>
      <c r="E96" s="44">
        <v>0.16760000000000003</v>
      </c>
      <c r="F96" s="44">
        <v>5.0199999999999995E-2</v>
      </c>
      <c r="G96" s="45">
        <v>10</v>
      </c>
      <c r="H96" s="44">
        <v>1.8000000000000002E-2</v>
      </c>
      <c r="I96" s="55" t="s">
        <v>245</v>
      </c>
      <c r="J96" s="52"/>
    </row>
    <row r="97" spans="1:10" x14ac:dyDescent="0.25">
      <c r="A97" s="39" t="str">
        <f>Sheet1!$A$32</f>
        <v>FONDO PENSIONE APERTO BIM VITA</v>
      </c>
      <c r="B97" s="40" t="s">
        <v>181</v>
      </c>
      <c r="C97" s="46" t="s">
        <v>90</v>
      </c>
      <c r="D97" s="47">
        <v>0.51840000000000008</v>
      </c>
      <c r="E97" s="47">
        <v>0.48159999999999997</v>
      </c>
      <c r="F97" s="47">
        <v>3.3700000000000001E-2</v>
      </c>
      <c r="G97" s="48">
        <v>10</v>
      </c>
      <c r="H97" s="47">
        <v>1.4999999999999999E-2</v>
      </c>
      <c r="I97" s="56" t="s">
        <v>245</v>
      </c>
      <c r="J97" s="53"/>
    </row>
    <row r="98" spans="1:10" x14ac:dyDescent="0.25">
      <c r="A98" s="37" t="str">
        <f>Sheet1!$A$32</f>
        <v>FONDO PENSIONE APERTO BIM VITA</v>
      </c>
      <c r="B98" s="38" t="s">
        <v>104</v>
      </c>
      <c r="C98" s="43" t="s">
        <v>90</v>
      </c>
      <c r="D98" s="44">
        <v>0.15629999999999999</v>
      </c>
      <c r="E98" s="44">
        <v>0.84370000000000001</v>
      </c>
      <c r="F98" s="44">
        <v>7.7999999999999996E-3</v>
      </c>
      <c r="G98" s="45">
        <v>10</v>
      </c>
      <c r="H98" s="44">
        <v>1.4E-2</v>
      </c>
      <c r="I98" s="55" t="s">
        <v>245</v>
      </c>
      <c r="J98" s="52"/>
    </row>
    <row r="99" spans="1:10" x14ac:dyDescent="0.25">
      <c r="A99" s="39" t="str">
        <f>Sheet1!$A$32</f>
        <v>FONDO PENSIONE APERTO BIM VITA</v>
      </c>
      <c r="B99" s="40" t="s">
        <v>182</v>
      </c>
      <c r="C99" s="46" t="s">
        <v>99</v>
      </c>
      <c r="D99" s="47">
        <v>0</v>
      </c>
      <c r="E99" s="47">
        <v>1</v>
      </c>
      <c r="F99" s="47">
        <v>-2.3999999999999998E-3</v>
      </c>
      <c r="G99" s="48">
        <v>10</v>
      </c>
      <c r="H99" s="47">
        <v>0.01</v>
      </c>
      <c r="I99" s="56" t="s">
        <v>245</v>
      </c>
      <c r="J99" s="53"/>
    </row>
    <row r="100" spans="1:10" x14ac:dyDescent="0.25">
      <c r="A100" s="37" t="str">
        <f>Sheet1!$A$35</f>
        <v>FONDO PENSIONE APERTO IL MELOGRANO</v>
      </c>
      <c r="B100" s="38" t="s">
        <v>128</v>
      </c>
      <c r="C100" s="43" t="s">
        <v>88</v>
      </c>
      <c r="D100" s="44">
        <v>0.85</v>
      </c>
      <c r="E100" s="44">
        <v>0.15</v>
      </c>
      <c r="F100" s="44">
        <v>4.6300000000000001E-2</v>
      </c>
      <c r="G100" s="45">
        <v>10</v>
      </c>
      <c r="H100" s="44">
        <v>1.4E-2</v>
      </c>
      <c r="I100" s="55" t="s">
        <v>245</v>
      </c>
      <c r="J100" s="52"/>
    </row>
    <row r="101" spans="1:10" x14ac:dyDescent="0.25">
      <c r="A101" s="39" t="str">
        <f>Sheet1!$A$35</f>
        <v>FONDO PENSIONE APERTO IL MELOGRANO</v>
      </c>
      <c r="B101" s="40" t="s">
        <v>173</v>
      </c>
      <c r="C101" s="46" t="s">
        <v>90</v>
      </c>
      <c r="D101" s="47">
        <v>0.51</v>
      </c>
      <c r="E101" s="47">
        <v>0.49</v>
      </c>
      <c r="F101" s="47">
        <v>2.9600000000000001E-2</v>
      </c>
      <c r="G101" s="48">
        <v>10</v>
      </c>
      <c r="H101" s="47">
        <v>1.0999999999999999E-2</v>
      </c>
      <c r="I101" s="56" t="s">
        <v>245</v>
      </c>
      <c r="J101" s="53"/>
    </row>
    <row r="102" spans="1:10" x14ac:dyDescent="0.25">
      <c r="A102" s="37" t="str">
        <f>Sheet1!$A$35</f>
        <v>FONDO PENSIONE APERTO IL MELOGRANO</v>
      </c>
      <c r="B102" s="38" t="s">
        <v>98</v>
      </c>
      <c r="C102" s="43" t="s">
        <v>99</v>
      </c>
      <c r="D102" s="44">
        <v>0.09</v>
      </c>
      <c r="E102" s="44">
        <v>0.91</v>
      </c>
      <c r="F102" s="44">
        <v>4.5999999999999999E-3</v>
      </c>
      <c r="G102" s="45">
        <v>10</v>
      </c>
      <c r="H102" s="44">
        <v>1.2E-2</v>
      </c>
      <c r="I102" s="55" t="s">
        <v>245</v>
      </c>
      <c r="J102" s="52"/>
    </row>
    <row r="103" spans="1:10" ht="15.75" thickBot="1" x14ac:dyDescent="0.3">
      <c r="A103" s="41" t="str">
        <f>Sheet1!$A$35</f>
        <v>FONDO PENSIONE APERTO IL MELOGRANO</v>
      </c>
      <c r="B103" s="42" t="s">
        <v>174</v>
      </c>
      <c r="C103" s="49" t="s">
        <v>92</v>
      </c>
      <c r="D103" s="50">
        <v>0</v>
      </c>
      <c r="E103" s="50">
        <v>1</v>
      </c>
      <c r="F103" s="50">
        <v>-2E-3</v>
      </c>
      <c r="G103" s="51">
        <v>10</v>
      </c>
      <c r="H103" s="50">
        <v>8.0000000000000002E-3</v>
      </c>
      <c r="I103" s="57" t="s">
        <v>245</v>
      </c>
      <c r="J103" s="54"/>
    </row>
  </sheetData>
  <autoFilter ref="A1:J103" xr:uid="{BDDC1D88-67FF-43E6-A002-CD7563C96AAE}"/>
  <hyperlinks>
    <hyperlink ref="I2" r:id="rId1" xr:uid="{1C5FCF32-D155-4944-9190-202F2208721A}"/>
    <hyperlink ref="I3" r:id="rId2" xr:uid="{975E077D-38D3-4E17-8B18-843E7EA40093}"/>
    <hyperlink ref="I4" r:id="rId3" xr:uid="{7FE35681-AEE8-499B-BEC5-4BAC5D1E4CF0}"/>
    <hyperlink ref="I5" r:id="rId4" xr:uid="{9C5B7A37-2327-4D0F-83B2-4CCE9F699B57}"/>
    <hyperlink ref="I6" r:id="rId5" xr:uid="{58178AFB-5BF6-4E4F-B612-4ADAA34D42CF}"/>
    <hyperlink ref="I7" r:id="rId6" xr:uid="{DDA32581-79BC-4411-8C5B-ABA617D47206}"/>
    <hyperlink ref="I8" r:id="rId7" xr:uid="{9A26EE87-F8A1-47C5-A21B-33D21D4962E8}"/>
    <hyperlink ref="I9" r:id="rId8" xr:uid="{89E9CADB-236D-48B2-8F36-9824FC6BDA13}"/>
    <hyperlink ref="I10" r:id="rId9" xr:uid="{6CCD4CFD-FF50-4598-BD00-C64361C003A7}"/>
    <hyperlink ref="I11" r:id="rId10" xr:uid="{2F962F34-0C31-4FA6-AA4C-7198088FF418}"/>
    <hyperlink ref="I12" r:id="rId11" xr:uid="{C2312AF8-90C4-4D8F-940D-34FEC7A23D37}"/>
    <hyperlink ref="I13" r:id="rId12" xr:uid="{81BCAA52-B06A-4170-AB1D-122A8646E132}"/>
    <hyperlink ref="I14" r:id="rId13" xr:uid="{6638C72F-0E05-4723-B88F-8C549CD17225}"/>
    <hyperlink ref="I15" r:id="rId14" xr:uid="{666BA8A5-A8E3-47C1-A26E-126509DEEC42}"/>
    <hyperlink ref="I16" r:id="rId15" xr:uid="{616DC085-A1B2-442D-A530-459B3E532F17}"/>
    <hyperlink ref="I17" r:id="rId16" xr:uid="{3E687094-7C98-4383-8747-ADB550B84539}"/>
    <hyperlink ref="I18" r:id="rId17" xr:uid="{12D5ED67-1C7D-40E5-83A3-AB4994F8DAB6}"/>
    <hyperlink ref="I19" r:id="rId18" xr:uid="{FB5B054C-26DD-4759-9C35-87A996B8CA18}"/>
    <hyperlink ref="I20" r:id="rId19" xr:uid="{B9356A7B-7761-4A68-B3E8-4B3C3BD2C609}"/>
    <hyperlink ref="I21" r:id="rId20" xr:uid="{68E96658-0245-4F68-9116-596320C4B542}"/>
    <hyperlink ref="I22" r:id="rId21" xr:uid="{EC1F92BB-5025-405B-8BF2-BCBE7D7B8C98}"/>
    <hyperlink ref="I23" r:id="rId22" xr:uid="{15C7E71B-2857-414D-ADE8-230A068AC736}"/>
    <hyperlink ref="I24" r:id="rId23" xr:uid="{D31ED5A7-64AB-412E-A668-FD77ED0A0BA1}"/>
    <hyperlink ref="I25" r:id="rId24" xr:uid="{3C1E37FE-30A7-443A-817C-A260C57B77DE}"/>
    <hyperlink ref="I26" r:id="rId25" xr:uid="{10CA6B51-DCEF-4982-8E2A-6D1686A35B1E}"/>
    <hyperlink ref="I27" r:id="rId26" xr:uid="{3CE052A0-2D29-44BB-9802-74CC09B4E576}"/>
    <hyperlink ref="I28" r:id="rId27" xr:uid="{44BF79E5-578B-4261-9382-5C67E22DA2AC}"/>
    <hyperlink ref="I29" r:id="rId28" xr:uid="{EFE117E1-2A57-4BB4-8596-F97026010916}"/>
    <hyperlink ref="I30" r:id="rId29" xr:uid="{043B22A0-2342-4B34-9AA8-DC07DB16AE87}"/>
    <hyperlink ref="I31" r:id="rId30" xr:uid="{F011CD31-832E-4EA9-8D17-E3ED53043722}"/>
    <hyperlink ref="I32" r:id="rId31" xr:uid="{4F101858-FB79-4768-A29F-651FD16496FE}"/>
    <hyperlink ref="I33" r:id="rId32" xr:uid="{66358BD4-D4E2-48DF-B746-FBCA760235F5}"/>
    <hyperlink ref="I34" r:id="rId33" xr:uid="{2DB05719-B695-4015-881B-FF1BF00354B9}"/>
    <hyperlink ref="I35" r:id="rId34" xr:uid="{EC06D2FF-A650-4492-BA93-F360C19EEE22}"/>
    <hyperlink ref="I36" r:id="rId35" xr:uid="{50336DB0-9AC8-4531-A1E5-2A2D98398BE7}"/>
    <hyperlink ref="I37" r:id="rId36" xr:uid="{AD99B7CC-25C6-40F5-9666-5C0D7BADFECB}"/>
    <hyperlink ref="I38" r:id="rId37" xr:uid="{DA13E0C7-4DBF-4E1E-9BC1-78858BD957E4}"/>
    <hyperlink ref="I39" r:id="rId38" xr:uid="{684EAFD3-2B0B-4683-960D-7C4A76486691}"/>
    <hyperlink ref="I40" r:id="rId39" xr:uid="{AAD52856-3429-48E5-B048-886EB0E20709}"/>
    <hyperlink ref="I41" r:id="rId40" xr:uid="{C865E601-CB3C-4882-A422-3D45CF6C7A38}"/>
    <hyperlink ref="I42" r:id="rId41" xr:uid="{4B7FCFC4-601A-442E-B905-2DD83FE29587}"/>
    <hyperlink ref="I43" r:id="rId42" xr:uid="{2D04F36A-9712-4F6D-A385-91C3A8A2FD9C}"/>
    <hyperlink ref="I44" r:id="rId43" xr:uid="{EC00DEA9-5F29-44A0-8637-24D152C8DEF1}"/>
    <hyperlink ref="I45" r:id="rId44" xr:uid="{0A5EA19A-7424-46DA-B005-62CFB0EE3560}"/>
    <hyperlink ref="I46" r:id="rId45" xr:uid="{9EB33983-065F-498D-97E6-7502489683F1}"/>
    <hyperlink ref="I47" r:id="rId46" xr:uid="{AFCFB407-8A44-404D-B461-F07A674AD241}"/>
    <hyperlink ref="I48" r:id="rId47" xr:uid="{E8C0196B-C6DE-46F2-8EB4-A199A1BE7998}"/>
    <hyperlink ref="I49" r:id="rId48" xr:uid="{8D8F3839-338A-4E53-AD2E-D4697E87EEA0}"/>
    <hyperlink ref="I50" r:id="rId49" xr:uid="{ACC64728-9A1B-41EA-B10E-BD3E59C8AE05}"/>
    <hyperlink ref="I51" r:id="rId50" xr:uid="{5CCCDC0B-DCD0-4A94-BE87-0D7E9E08D584}"/>
    <hyperlink ref="I52" r:id="rId51" xr:uid="{828DBAB3-8B79-414C-B9BF-917F2414A6A5}"/>
    <hyperlink ref="I53" r:id="rId52" xr:uid="{301BA6E4-D3EA-416A-B942-43BB8A9B4149}"/>
    <hyperlink ref="I54" r:id="rId53" xr:uid="{ABB6A806-41C8-4186-B08B-CF868B27FC2D}"/>
    <hyperlink ref="I55" r:id="rId54" xr:uid="{726DB2CD-668D-4AC3-A792-D79F1C465BCF}"/>
    <hyperlink ref="I56" r:id="rId55" xr:uid="{8A086FCD-84AE-46DF-B356-5ABBA9073E91}"/>
    <hyperlink ref="I57" r:id="rId56" xr:uid="{307BB33E-36EF-4AC5-937F-90BCCCEA74D1}"/>
    <hyperlink ref="I58" r:id="rId57" xr:uid="{4770DECD-7BB8-4493-BD04-4DE43C2EF946}"/>
    <hyperlink ref="I59" r:id="rId58" xr:uid="{80B9C7DD-E754-4920-9B4E-EE0BF6E59058}"/>
    <hyperlink ref="I60" r:id="rId59" xr:uid="{2C62BC1B-3960-48AC-8EB9-F80CD9862F1E}"/>
    <hyperlink ref="I61" r:id="rId60" xr:uid="{D3EB3AA4-A4AB-424F-8B0F-921E32F87BD7}"/>
    <hyperlink ref="I62" r:id="rId61" xr:uid="{E5B0EC91-9D47-4442-A513-05011ECBE4EB}"/>
    <hyperlink ref="I63" r:id="rId62" xr:uid="{E92C78AF-D86C-49E5-8F70-D07E82D42A76}"/>
    <hyperlink ref="I64" r:id="rId63" xr:uid="{D613814A-EECA-447F-93B8-C9012521279A}"/>
    <hyperlink ref="I65" r:id="rId64" xr:uid="{6FB71AAF-61F1-4E2A-BA7D-0B421D4FC772}"/>
    <hyperlink ref="I66" r:id="rId65" xr:uid="{535588CE-0EE0-4BC0-A048-30069FCB295D}"/>
    <hyperlink ref="I67" r:id="rId66" xr:uid="{CB6C197E-8D8F-4883-A9AB-388135659F1F}"/>
    <hyperlink ref="I68" r:id="rId67" xr:uid="{9001BE7B-E6FF-41F4-9CE6-584B24610534}"/>
    <hyperlink ref="I69" r:id="rId68" xr:uid="{4D24D316-A413-479E-B2C4-0CF824F7763E}"/>
    <hyperlink ref="I70" r:id="rId69" xr:uid="{B3DE1515-432F-406D-B126-58B084890FF7}"/>
    <hyperlink ref="I71" r:id="rId70" xr:uid="{AA497268-5009-4C99-B8DB-C0D5D07ABB0E}"/>
    <hyperlink ref="I72" r:id="rId71" xr:uid="{4379FC4C-F421-46CE-8AF6-0AE86032DDC1}"/>
    <hyperlink ref="I73" r:id="rId72" xr:uid="{C59F5B45-6ED6-4C4E-A54F-C362E225C0AD}"/>
    <hyperlink ref="I74" r:id="rId73" xr:uid="{C0CF5EBA-D8B3-4E3A-94DC-22CF5A452B6B}"/>
    <hyperlink ref="I75" r:id="rId74" xr:uid="{ECC78F5F-D6C6-4122-8C2F-E28781670D3A}"/>
    <hyperlink ref="I76" r:id="rId75" xr:uid="{079A0872-D3EB-4A5A-A4FC-F08987C13CEB}"/>
    <hyperlink ref="I77" r:id="rId76" xr:uid="{78590657-7F22-4AC6-B256-9F1F12F41672}"/>
    <hyperlink ref="I78" r:id="rId77" xr:uid="{A0FE0BCA-237C-4580-8E1A-16B5E2E032BD}"/>
    <hyperlink ref="I79" r:id="rId78" xr:uid="{E3AA42E4-2D9C-40ED-B6C8-1E3DC407F9F2}"/>
    <hyperlink ref="I80" r:id="rId79" xr:uid="{7F17DEED-AAFE-48FB-B949-97CC6F6A4264}"/>
    <hyperlink ref="I81" r:id="rId80" xr:uid="{963083D3-34D5-423C-B72F-501D14A5B8E6}"/>
    <hyperlink ref="I82" r:id="rId81" xr:uid="{8FDDA62A-1569-4933-A7BD-2BCE229DC7D2}"/>
    <hyperlink ref="I83" r:id="rId82" xr:uid="{F6EFD551-9BE4-48DD-989B-1807D5D349C6}"/>
    <hyperlink ref="I84" r:id="rId83" xr:uid="{BD2C490D-4CFB-4F82-8B15-29F8C0B99FC9}"/>
    <hyperlink ref="I85" r:id="rId84" xr:uid="{A3C5156B-A415-426C-B14C-9071594A1921}"/>
    <hyperlink ref="I86" r:id="rId85" xr:uid="{DE2625BC-A6AC-4A92-81C5-012400D1A43E}"/>
    <hyperlink ref="I87" r:id="rId86" xr:uid="{770A2BA8-1D05-4619-B740-CE01779E9401}"/>
    <hyperlink ref="I88" r:id="rId87" xr:uid="{106557CC-2DC8-47E2-B39E-0285AB76FAEE}"/>
    <hyperlink ref="I89" r:id="rId88" xr:uid="{EBD21A8E-FD34-4217-923F-D769F0BCC025}"/>
    <hyperlink ref="I90" r:id="rId89" xr:uid="{24BBE45F-B0F3-4C38-B22F-0205BBCF5138}"/>
    <hyperlink ref="I91" r:id="rId90" xr:uid="{2BB3D08F-37A9-4532-8F8E-B1017A03698F}"/>
    <hyperlink ref="I92" r:id="rId91" xr:uid="{4D07E192-51DB-4BDE-8079-01A936D17CCE}"/>
    <hyperlink ref="I93" r:id="rId92" xr:uid="{1D215259-6BB3-4B66-99F4-3DB2EAAFA179}"/>
    <hyperlink ref="I94" r:id="rId93" xr:uid="{4BF95A19-2881-4AAB-B008-80BD35E16D0E}"/>
    <hyperlink ref="I95" r:id="rId94" xr:uid="{895B315C-2EF7-4685-AB75-6BC08171BFCB}"/>
    <hyperlink ref="I96" r:id="rId95" xr:uid="{2F1C8BDB-8350-446B-8672-92BDC80D7E12}"/>
    <hyperlink ref="I97" r:id="rId96" xr:uid="{5719187C-6975-407B-93E0-0658F6D6456A}"/>
    <hyperlink ref="I98" r:id="rId97" xr:uid="{46ACBE28-A071-40D4-8150-A6ACA1330894}"/>
    <hyperlink ref="I99" r:id="rId98" xr:uid="{20C95AEF-F2D9-4AFE-AF39-860BD463DBB5}"/>
    <hyperlink ref="I100" r:id="rId99" xr:uid="{083F16D7-D086-4FCC-88B5-407006B67E7B}"/>
    <hyperlink ref="I101" r:id="rId100" xr:uid="{34E50AE9-F1A3-4F4E-BA65-8142C33E4171}"/>
    <hyperlink ref="I102" r:id="rId101" xr:uid="{86DC2F05-299F-4407-A253-3A023EAB868C}"/>
    <hyperlink ref="I103" r:id="rId102" xr:uid="{B477A67F-EE83-4458-95C1-BE024BF8538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Comparti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 Gallegati</cp:lastModifiedBy>
  <dcterms:modified xsi:type="dcterms:W3CDTF">2026-10-07T19:41:58Z</dcterms:modified>
</cp:coreProperties>
</file>